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hbae-pc/Tools/asset-mgmt-system/"/>
    </mc:Choice>
  </mc:AlternateContent>
  <xr:revisionPtr revIDLastSave="0" documentId="8_{87C436F3-36BC-3148-A241-EE9104F0E509}" xr6:coauthVersionLast="47" xr6:coauthVersionMax="47" xr10:uidLastSave="{00000000-0000-0000-0000-000000000000}"/>
  <bookViews>
    <workbookView xWindow="69720" yWindow="2060" windowWidth="38640" windowHeight="23520" xr2:uid="{00000000-000D-0000-FFFF-FFFF00000000}"/>
  </bookViews>
  <sheets>
    <sheet name="구성원_목록" sheetId="8" r:id="rId1"/>
    <sheet name="현황_25_07" sheetId="9" state="hidden" r:id="rId2"/>
  </sheets>
  <definedNames>
    <definedName name="_xlnm._FilterDatabase" localSheetId="0" hidden="1">구성원_목록!$A$1:$H$105</definedName>
    <definedName name="_xlnm._FilterDatabase" localSheetId="1" hidden="1">현황_25_07!$A$1:$K$22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8" l="1"/>
  <c r="E106" i="8"/>
  <c r="F106" i="8"/>
  <c r="G106" i="8"/>
  <c r="H106" i="8"/>
  <c r="C106" i="8"/>
  <c r="F23" i="9"/>
  <c r="D23" i="9"/>
  <c r="H22" i="9"/>
  <c r="G22" i="9"/>
  <c r="I22" i="9" s="1"/>
  <c r="K22" i="9" s="1"/>
  <c r="E22" i="9"/>
  <c r="H21" i="9"/>
  <c r="E21" i="9"/>
  <c r="G21" i="9" s="1"/>
  <c r="I21" i="9" s="1"/>
  <c r="K21" i="9" s="1"/>
  <c r="J20" i="9"/>
  <c r="I20" i="9"/>
  <c r="K20" i="9" s="1"/>
  <c r="H20" i="9"/>
  <c r="G20" i="9"/>
  <c r="J19" i="9"/>
  <c r="H19" i="9"/>
  <c r="G19" i="9"/>
  <c r="I19" i="9" s="1"/>
  <c r="K19" i="9" s="1"/>
  <c r="H18" i="9"/>
  <c r="G18" i="9"/>
  <c r="I18" i="9" s="1"/>
  <c r="K18" i="9" s="1"/>
  <c r="J17" i="9"/>
  <c r="H17" i="9"/>
  <c r="E17" i="9"/>
  <c r="G17" i="9" s="1"/>
  <c r="I17" i="9" s="1"/>
  <c r="K17" i="9" s="1"/>
  <c r="H16" i="9"/>
  <c r="E16" i="9"/>
  <c r="E23" i="9" s="1"/>
  <c r="H15" i="9"/>
  <c r="G15" i="9"/>
  <c r="I15" i="9" s="1"/>
  <c r="K15" i="9" s="1"/>
  <c r="I14" i="9"/>
  <c r="K14" i="9" s="1"/>
  <c r="H14" i="9"/>
  <c r="G14" i="9"/>
  <c r="K13" i="9"/>
  <c r="I13" i="9"/>
  <c r="H13" i="9"/>
  <c r="G13" i="9"/>
  <c r="J12" i="9"/>
  <c r="H12" i="9"/>
  <c r="G12" i="9"/>
  <c r="I12" i="9" s="1"/>
  <c r="K12" i="9" s="1"/>
  <c r="J11" i="9"/>
  <c r="I11" i="9"/>
  <c r="K11" i="9" s="1"/>
  <c r="H11" i="9"/>
  <c r="G11" i="9"/>
  <c r="K10" i="9"/>
  <c r="I10" i="9"/>
  <c r="H10" i="9"/>
  <c r="G10" i="9"/>
  <c r="H9" i="9"/>
  <c r="F9" i="9"/>
  <c r="G9" i="9" s="1"/>
  <c r="I9" i="9" s="1"/>
  <c r="K9" i="9" s="1"/>
  <c r="H8" i="9"/>
  <c r="G8" i="9"/>
  <c r="I8" i="9" s="1"/>
  <c r="K8" i="9" s="1"/>
  <c r="I7" i="9"/>
  <c r="K7" i="9" s="1"/>
  <c r="H7" i="9"/>
  <c r="G7" i="9"/>
  <c r="J6" i="9"/>
  <c r="H6" i="9"/>
  <c r="E6" i="9"/>
  <c r="G6" i="9" s="1"/>
  <c r="I6" i="9" s="1"/>
  <c r="K6" i="9" s="1"/>
  <c r="H5" i="9"/>
  <c r="G5" i="9"/>
  <c r="I5" i="9" s="1"/>
  <c r="K5" i="9" s="1"/>
  <c r="I4" i="9"/>
  <c r="K4" i="9" s="1"/>
  <c r="H4" i="9"/>
  <c r="G4" i="9"/>
  <c r="J3" i="9"/>
  <c r="I3" i="9"/>
  <c r="K3" i="9" s="1"/>
  <c r="H3" i="9"/>
  <c r="G3" i="9"/>
  <c r="J2" i="9"/>
  <c r="J23" i="9" s="1"/>
  <c r="H2" i="9"/>
  <c r="H23" i="9" s="1"/>
  <c r="G2" i="9"/>
  <c r="G16" i="9" l="1"/>
  <c r="I16" i="9" s="1"/>
  <c r="K16" i="9" s="1"/>
  <c r="I2" i="9"/>
  <c r="G23" i="9" l="1"/>
  <c r="I23" i="9"/>
  <c r="K2" i="9"/>
  <c r="K23" i="9" s="1"/>
</calcChain>
</file>

<file path=xl/sharedStrings.xml><?xml version="1.0" encoding="utf-8"?>
<sst xmlns="http://schemas.openxmlformats.org/spreadsheetml/2006/main" count="727" uniqueCount="191">
  <si>
    <t>#</t>
  </si>
  <si>
    <t>구분</t>
  </si>
  <si>
    <t>리더</t>
  </si>
  <si>
    <t>재적</t>
  </si>
  <si>
    <t>예산 합계</t>
  </si>
  <si>
    <t>잔액</t>
  </si>
  <si>
    <t>기준일자</t>
  </si>
  <si>
    <t>1</t>
  </si>
  <si>
    <t>세일즈어드민</t>
  </si>
  <si>
    <t>조현미</t>
  </si>
  <si>
    <t>2</t>
  </si>
  <si>
    <t>비즈니스1</t>
  </si>
  <si>
    <t>박창석</t>
  </si>
  <si>
    <t>3</t>
  </si>
  <si>
    <t>비즈니스2</t>
  </si>
  <si>
    <t>김주홍</t>
  </si>
  <si>
    <t>4</t>
  </si>
  <si>
    <t>비즈니스3</t>
  </si>
  <si>
    <t>강진호</t>
  </si>
  <si>
    <t>5</t>
  </si>
  <si>
    <t>마케팅</t>
  </si>
  <si>
    <t>이재희</t>
  </si>
  <si>
    <t>6</t>
  </si>
  <si>
    <t>CEM</t>
  </si>
  <si>
    <t>이강원</t>
  </si>
  <si>
    <t>7</t>
  </si>
  <si>
    <t>DF1</t>
  </si>
  <si>
    <t>전예원</t>
  </si>
  <si>
    <t>8</t>
  </si>
  <si>
    <t>DF3</t>
  </si>
  <si>
    <t>유지현</t>
  </si>
  <si>
    <t>9</t>
  </si>
  <si>
    <t>기획1</t>
  </si>
  <si>
    <t>김경수</t>
  </si>
  <si>
    <t>10</t>
  </si>
  <si>
    <t>기획2</t>
  </si>
  <si>
    <t>최고운</t>
  </si>
  <si>
    <t>11</t>
  </si>
  <si>
    <t>TA</t>
  </si>
  <si>
    <t>이광주</t>
  </si>
  <si>
    <t>12</t>
  </si>
  <si>
    <t>개발5</t>
  </si>
  <si>
    <t>김태웅</t>
  </si>
  <si>
    <t>13</t>
  </si>
  <si>
    <t>개발6</t>
  </si>
  <si>
    <t>임수경</t>
  </si>
  <si>
    <t>14</t>
  </si>
  <si>
    <t>개발10</t>
  </si>
  <si>
    <t>최재영</t>
  </si>
  <si>
    <t>15</t>
  </si>
  <si>
    <t>개발14</t>
  </si>
  <si>
    <t>이득룡</t>
  </si>
  <si>
    <t>16</t>
  </si>
  <si>
    <t>개발15</t>
  </si>
  <si>
    <t>장윤경</t>
  </si>
  <si>
    <t>17</t>
  </si>
  <si>
    <t>QA</t>
  </si>
  <si>
    <t>이기욱</t>
  </si>
  <si>
    <t>18</t>
  </si>
  <si>
    <t>정보보호</t>
  </si>
  <si>
    <t>배상학</t>
  </si>
  <si>
    <t>19</t>
  </si>
  <si>
    <t>경영지원</t>
  </si>
  <si>
    <t>송복령</t>
  </si>
  <si>
    <t>20</t>
  </si>
  <si>
    <t>재무기획</t>
  </si>
  <si>
    <t>백승화</t>
  </si>
  <si>
    <t>21</t>
  </si>
  <si>
    <t>기획4</t>
  </si>
  <si>
    <t>기획5</t>
  </si>
  <si>
    <t>이현</t>
  </si>
  <si>
    <t>기획6</t>
  </si>
  <si>
    <t>김보경</t>
  </si>
  <si>
    <t>개발16</t>
  </si>
  <si>
    <t>추연우</t>
  </si>
  <si>
    <t>합계</t>
  </si>
  <si>
    <t>25년 7월
적립</t>
  </si>
  <si>
    <t>25년 7월
사용</t>
  </si>
  <si>
    <t>기획3</t>
  </si>
  <si>
    <t>왕일</t>
  </si>
  <si>
    <t>유닛</t>
  </si>
  <si>
    <t>김은혜</t>
  </si>
  <si>
    <t>노지숙</t>
  </si>
  <si>
    <t>정주현</t>
  </si>
  <si>
    <t>김근진</t>
  </si>
  <si>
    <t>이미숙</t>
  </si>
  <si>
    <t>최다운</t>
  </si>
  <si>
    <t>이은진</t>
  </si>
  <si>
    <t>배동관</t>
  </si>
  <si>
    <t>염효주</t>
  </si>
  <si>
    <t>김이수</t>
  </si>
  <si>
    <t>이해원</t>
  </si>
  <si>
    <t>박채란</t>
  </si>
  <si>
    <t>최유빈</t>
  </si>
  <si>
    <t>최형택</t>
  </si>
  <si>
    <t>이도경</t>
  </si>
  <si>
    <t>주지원</t>
  </si>
  <si>
    <t>윤경은</t>
  </si>
  <si>
    <t>전재현</t>
  </si>
  <si>
    <t>염희원</t>
  </si>
  <si>
    <t>김지수</t>
  </si>
  <si>
    <t>소민정</t>
  </si>
  <si>
    <t>박다솜</t>
  </si>
  <si>
    <t>김다애</t>
  </si>
  <si>
    <t>조아영</t>
  </si>
  <si>
    <t>기효선</t>
  </si>
  <si>
    <t>임유영</t>
  </si>
  <si>
    <t>이준협</t>
  </si>
  <si>
    <t>안솔뫼</t>
  </si>
  <si>
    <t>이종범</t>
  </si>
  <si>
    <t>한상진</t>
  </si>
  <si>
    <t>이치현</t>
  </si>
  <si>
    <t>윤현우</t>
  </si>
  <si>
    <t>신재우</t>
  </si>
  <si>
    <t>박혜린</t>
  </si>
  <si>
    <t>김도혜</t>
  </si>
  <si>
    <t>연창균</t>
  </si>
  <si>
    <t>임헌영</t>
  </si>
  <si>
    <t>홍정호</t>
  </si>
  <si>
    <t>송영록</t>
  </si>
  <si>
    <t>이종석</t>
  </si>
  <si>
    <t>정승완</t>
  </si>
  <si>
    <t>김영재</t>
  </si>
  <si>
    <t>윤건일</t>
  </si>
  <si>
    <t>이재욱</t>
  </si>
  <si>
    <t>이민승</t>
  </si>
  <si>
    <t>신은정</t>
  </si>
  <si>
    <t>박명규</t>
  </si>
  <si>
    <t>이상훈</t>
  </si>
  <si>
    <t>김민정</t>
  </si>
  <si>
    <t>신승철</t>
  </si>
  <si>
    <t>송재한</t>
  </si>
  <si>
    <t>박정규</t>
  </si>
  <si>
    <t>이장희</t>
  </si>
  <si>
    <t>권중규</t>
  </si>
  <si>
    <t>이해령</t>
  </si>
  <si>
    <t>최성혁</t>
  </si>
  <si>
    <t>장홍재</t>
  </si>
  <si>
    <t>최우석</t>
  </si>
  <si>
    <t>김홍현</t>
  </si>
  <si>
    <t>김준경</t>
  </si>
  <si>
    <t>최다나</t>
  </si>
  <si>
    <t>최유성</t>
  </si>
  <si>
    <t>정혜주</t>
  </si>
  <si>
    <t>이은비</t>
  </si>
  <si>
    <t>박영나</t>
  </si>
  <si>
    <t>윤방우</t>
  </si>
  <si>
    <t>윤문선</t>
  </si>
  <si>
    <t>정은경</t>
  </si>
  <si>
    <t>김소영</t>
  </si>
  <si>
    <t>정하은</t>
  </si>
  <si>
    <t>하유민</t>
  </si>
  <si>
    <t>강유현</t>
  </si>
  <si>
    <t>박규태</t>
  </si>
  <si>
    <t>서영탁</t>
  </si>
  <si>
    <t>이름</t>
  </si>
  <si>
    <t>직책</t>
  </si>
  <si>
    <t>신현호</t>
  </si>
  <si>
    <t>분류</t>
  </si>
  <si>
    <t>셀</t>
  </si>
  <si>
    <t>파트</t>
  </si>
  <si>
    <t>위치</t>
  </si>
  <si>
    <t>신동호</t>
  </si>
  <si>
    <t>CEO</t>
  </si>
  <si>
    <t>성수_202</t>
  </si>
  <si>
    <t>박지연</t>
  </si>
  <si>
    <t>개발</t>
  </si>
  <si>
    <t>HR</t>
  </si>
  <si>
    <t>전주</t>
  </si>
  <si>
    <t>CK</t>
  </si>
  <si>
    <t>성수_1906</t>
  </si>
  <si>
    <t>사업</t>
  </si>
  <si>
    <t>운영</t>
  </si>
  <si>
    <t>성수_201</t>
  </si>
  <si>
    <t>김희수</t>
  </si>
  <si>
    <t>VP</t>
  </si>
  <si>
    <t>비즈니스</t>
  </si>
  <si>
    <t>개발연구소</t>
  </si>
  <si>
    <t>경영</t>
  </si>
  <si>
    <t>대표이사직속</t>
  </si>
  <si>
    <t>이의로</t>
  </si>
  <si>
    <t>CFO</t>
  </si>
  <si>
    <t>CTO</t>
  </si>
  <si>
    <t>CISO</t>
  </si>
  <si>
    <t>김희우</t>
  </si>
  <si>
    <t>CPO</t>
  </si>
  <si>
    <t>휴직</t>
  </si>
  <si>
    <t>대표</t>
  </si>
  <si>
    <t>회식비</t>
  </si>
  <si>
    <t>회식비
사용</t>
  </si>
  <si>
    <t>회식비 
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</si>
</sst>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([$₩-412]* #,##0_);_([$₩-412]* \(#,##0\);_([$₩-412]* &quot;-&quot;??_);_(@_)"/>
    <numFmt numFmtId="177" formatCode="yyyy\-mm\-dd"/>
  </numFmts>
  <fonts count="6">
    <font>
      <sz val="10"/>
      <color rgb="FF000000"/>
      <name val="Arial"/>
      <scheme val="minor"/>
    </font>
    <font>
      <b/>
      <sz val="12"/>
      <color theme="1"/>
      <name val="Noto Sans KR"/>
      <family val="3"/>
      <charset val="129"/>
    </font>
    <font>
      <sz val="12"/>
      <color theme="1"/>
      <name val="Noto Sans KR"/>
      <family val="3"/>
      <charset val="129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176" fontId="1" fillId="3" borderId="0" xfId="0" applyNumberFormat="1" applyFont="1" applyFill="1" applyAlignment="1">
      <alignment vertical="center"/>
    </xf>
    <xf numFmtId="177" fontId="2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right" vertical="center"/>
    </xf>
    <xf numFmtId="176" fontId="1" fillId="5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49" fontId="1" fillId="6" borderId="0" xfId="0" applyNumberFormat="1" applyFont="1" applyFill="1" applyAlignment="1">
      <alignment horizontal="right" vertical="center"/>
    </xf>
    <xf numFmtId="49" fontId="1" fillId="6" borderId="0" xfId="0" applyNumberFormat="1" applyFont="1" applyFill="1" applyAlignment="1">
      <alignment horizontal="left" vertical="center"/>
    </xf>
    <xf numFmtId="0" fontId="1" fillId="6" borderId="0" xfId="0" applyFont="1" applyFill="1" applyAlignment="1">
      <alignment horizontal="right" vertical="center"/>
    </xf>
    <xf numFmtId="176" fontId="2" fillId="6" borderId="0" xfId="0" applyNumberFormat="1" applyFont="1" applyFill="1" applyAlignment="1">
      <alignment vertical="center"/>
    </xf>
    <xf numFmtId="49" fontId="1" fillId="7" borderId="0" xfId="0" applyNumberFormat="1" applyFont="1" applyFill="1" applyAlignment="1">
      <alignment horizontal="right" vertical="center"/>
    </xf>
    <xf numFmtId="49" fontId="1" fillId="7" borderId="0" xfId="0" applyNumberFormat="1" applyFont="1" applyFill="1" applyAlignment="1">
      <alignment horizontal="left" vertical="center"/>
    </xf>
    <xf numFmtId="0" fontId="1" fillId="7" borderId="0" xfId="0" applyFont="1" applyFill="1" applyAlignment="1">
      <alignment horizontal="right" vertical="center"/>
    </xf>
    <xf numFmtId="176" fontId="2" fillId="7" borderId="0" xfId="0" applyNumberFormat="1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</cellXfs>
  <cellStyles count="1">
    <cellStyle name="표준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</dxfs>
  <tableStyles count="3">
    <tableStyle name="현황_26_03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현황_26_02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부서별_구성원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6"/>
  <sheetViews>
    <sheetView tabSelected="1" workbookViewId="0">
      <pane ySplit="1" topLeftCell="A2" activePane="bottomLeft" state="frozen"/>
      <selection pane="bottomLeft" activeCell="M27" sqref="M27"/>
    </sheetView>
  </sheetViews>
  <sheetFormatPr baseColWidth="10" defaultColWidth="12.5" defaultRowHeight="20" customHeight="1"/>
  <cols>
    <col min="1" max="1" width="7.83203125" bestFit="1" customWidth="1"/>
    <col min="2" max="3" width="10.83203125" bestFit="1" customWidth="1"/>
    <col min="4" max="4" width="15.5" bestFit="1" customWidth="1"/>
    <col min="5" max="5" width="13" bestFit="1" customWidth="1"/>
    <col min="6" max="6" width="10.83203125" bestFit="1" customWidth="1"/>
    <col min="7" max="7" width="15.5" bestFit="1" customWidth="1"/>
    <col min="8" max="8" width="13" bestFit="1" customWidth="1"/>
  </cols>
  <sheetData>
    <row r="1" spans="1:8" ht="20" customHeight="1">
      <c r="A1" s="22" t="s">
        <v>0</v>
      </c>
      <c r="B1" s="22" t="s">
        <v>155</v>
      </c>
      <c r="C1" s="22" t="s">
        <v>156</v>
      </c>
      <c r="D1" s="22" t="s">
        <v>158</v>
      </c>
      <c r="E1" s="22" t="s">
        <v>159</v>
      </c>
      <c r="F1" s="22" t="s">
        <v>80</v>
      </c>
      <c r="G1" s="22" t="s">
        <v>160</v>
      </c>
      <c r="H1" s="22" t="s">
        <v>161</v>
      </c>
    </row>
    <row r="2" spans="1:8" ht="20" customHeight="1">
      <c r="A2" s="14">
        <v>1</v>
      </c>
      <c r="B2" s="23" t="s">
        <v>162</v>
      </c>
      <c r="C2" s="21"/>
      <c r="D2" s="24" t="s">
        <v>163</v>
      </c>
      <c r="E2" s="25" t="s">
        <v>163</v>
      </c>
      <c r="F2" s="25" t="s">
        <v>163</v>
      </c>
      <c r="G2" s="25" t="s">
        <v>163</v>
      </c>
      <c r="H2" s="24" t="s">
        <v>164</v>
      </c>
    </row>
    <row r="3" spans="1:8" ht="20" customHeight="1">
      <c r="A3" s="18">
        <v>2</v>
      </c>
      <c r="B3" s="26" t="s">
        <v>165</v>
      </c>
      <c r="C3" s="20"/>
      <c r="D3" s="27" t="s">
        <v>166</v>
      </c>
      <c r="E3" s="28" t="s">
        <v>167</v>
      </c>
      <c r="F3" s="28" t="s">
        <v>167</v>
      </c>
      <c r="G3" s="28" t="s">
        <v>167</v>
      </c>
      <c r="H3" s="27" t="s">
        <v>168</v>
      </c>
    </row>
    <row r="4" spans="1:8" ht="20" customHeight="1">
      <c r="A4" s="14">
        <v>3</v>
      </c>
      <c r="B4" s="23" t="s">
        <v>48</v>
      </c>
      <c r="C4" s="21" t="s">
        <v>2</v>
      </c>
      <c r="D4" s="24" t="s">
        <v>166</v>
      </c>
      <c r="E4" s="25" t="s">
        <v>169</v>
      </c>
      <c r="F4" s="25" t="s">
        <v>47</v>
      </c>
      <c r="G4" s="25" t="s">
        <v>47</v>
      </c>
      <c r="H4" s="24" t="s">
        <v>170</v>
      </c>
    </row>
    <row r="5" spans="1:8" ht="20" customHeight="1">
      <c r="A5" s="18">
        <v>4</v>
      </c>
      <c r="B5" s="26" t="s">
        <v>24</v>
      </c>
      <c r="C5" s="20" t="s">
        <v>2</v>
      </c>
      <c r="D5" s="27" t="s">
        <v>171</v>
      </c>
      <c r="E5" s="28" t="s">
        <v>172</v>
      </c>
      <c r="F5" s="28" t="s">
        <v>23</v>
      </c>
      <c r="G5" s="28" t="s">
        <v>23</v>
      </c>
      <c r="H5" s="27" t="s">
        <v>173</v>
      </c>
    </row>
    <row r="6" spans="1:8" ht="20" customHeight="1">
      <c r="A6" s="14">
        <v>5</v>
      </c>
      <c r="B6" s="23" t="s">
        <v>174</v>
      </c>
      <c r="C6" s="21"/>
      <c r="D6" s="24" t="s">
        <v>175</v>
      </c>
      <c r="E6" s="25" t="s">
        <v>176</v>
      </c>
      <c r="F6" s="25" t="s">
        <v>176</v>
      </c>
      <c r="G6" s="25" t="s">
        <v>176</v>
      </c>
      <c r="H6" s="24" t="s">
        <v>173</v>
      </c>
    </row>
    <row r="7" spans="1:8" ht="20" customHeight="1">
      <c r="A7" s="18">
        <v>6</v>
      </c>
      <c r="B7" s="26" t="s">
        <v>45</v>
      </c>
      <c r="C7" s="20" t="s">
        <v>2</v>
      </c>
      <c r="D7" s="27" t="s">
        <v>166</v>
      </c>
      <c r="E7" s="28" t="s">
        <v>177</v>
      </c>
      <c r="F7" s="28" t="s">
        <v>44</v>
      </c>
      <c r="G7" s="28" t="s">
        <v>44</v>
      </c>
      <c r="H7" s="27" t="s">
        <v>164</v>
      </c>
    </row>
    <row r="8" spans="1:8" ht="20" customHeight="1">
      <c r="A8" s="14">
        <v>7</v>
      </c>
      <c r="B8" s="23" t="s">
        <v>63</v>
      </c>
      <c r="C8" s="21" t="s">
        <v>2</v>
      </c>
      <c r="D8" s="24" t="s">
        <v>178</v>
      </c>
      <c r="E8" s="25" t="s">
        <v>62</v>
      </c>
      <c r="F8" s="25" t="s">
        <v>62</v>
      </c>
      <c r="G8" s="25" t="s">
        <v>62</v>
      </c>
      <c r="H8" s="24" t="s">
        <v>173</v>
      </c>
    </row>
    <row r="9" spans="1:8" ht="20" customHeight="1">
      <c r="A9" s="18">
        <v>8</v>
      </c>
      <c r="B9" s="26" t="s">
        <v>42</v>
      </c>
      <c r="C9" s="20" t="s">
        <v>2</v>
      </c>
      <c r="D9" s="27" t="s">
        <v>166</v>
      </c>
      <c r="E9" s="28" t="s">
        <v>177</v>
      </c>
      <c r="F9" s="28" t="s">
        <v>41</v>
      </c>
      <c r="G9" s="28" t="s">
        <v>41</v>
      </c>
      <c r="H9" s="27" t="s">
        <v>170</v>
      </c>
    </row>
    <row r="10" spans="1:8" ht="20" customHeight="1">
      <c r="A10" s="14">
        <v>9</v>
      </c>
      <c r="B10" s="23" t="s">
        <v>92</v>
      </c>
      <c r="C10" s="29"/>
      <c r="D10" s="24" t="s">
        <v>171</v>
      </c>
      <c r="E10" s="25" t="s">
        <v>172</v>
      </c>
      <c r="F10" s="25" t="s">
        <v>23</v>
      </c>
      <c r="G10" s="25" t="s">
        <v>23</v>
      </c>
      <c r="H10" s="24" t="s">
        <v>173</v>
      </c>
    </row>
    <row r="11" spans="1:8" ht="20" customHeight="1">
      <c r="A11" s="18">
        <v>10</v>
      </c>
      <c r="B11" s="26" t="s">
        <v>114</v>
      </c>
      <c r="C11" s="30"/>
      <c r="D11" s="27" t="s">
        <v>166</v>
      </c>
      <c r="E11" s="28" t="s">
        <v>177</v>
      </c>
      <c r="F11" s="28" t="s">
        <v>44</v>
      </c>
      <c r="G11" s="28" t="s">
        <v>44</v>
      </c>
      <c r="H11" s="27" t="s">
        <v>164</v>
      </c>
    </row>
    <row r="12" spans="1:8" ht="20" customHeight="1">
      <c r="A12" s="14">
        <v>11</v>
      </c>
      <c r="B12" s="23" t="s">
        <v>109</v>
      </c>
      <c r="C12" s="29"/>
      <c r="D12" s="24" t="s">
        <v>166</v>
      </c>
      <c r="E12" s="25" t="s">
        <v>177</v>
      </c>
      <c r="F12" s="25" t="s">
        <v>41</v>
      </c>
      <c r="G12" s="25" t="s">
        <v>41</v>
      </c>
      <c r="H12" s="24" t="s">
        <v>170</v>
      </c>
    </row>
    <row r="13" spans="1:8" ht="20" customHeight="1">
      <c r="A13" s="18">
        <v>12</v>
      </c>
      <c r="B13" s="26" t="s">
        <v>104</v>
      </c>
      <c r="C13" s="30"/>
      <c r="D13" s="27" t="s">
        <v>166</v>
      </c>
      <c r="E13" s="28" t="s">
        <v>35</v>
      </c>
      <c r="F13" s="28" t="s">
        <v>35</v>
      </c>
      <c r="G13" s="28" t="s">
        <v>35</v>
      </c>
      <c r="H13" s="27" t="s">
        <v>164</v>
      </c>
    </row>
    <row r="14" spans="1:8" ht="20" customHeight="1">
      <c r="A14" s="14">
        <v>13</v>
      </c>
      <c r="B14" s="23" t="s">
        <v>87</v>
      </c>
      <c r="C14" s="21"/>
      <c r="D14" s="24" t="s">
        <v>171</v>
      </c>
      <c r="E14" s="25" t="s">
        <v>176</v>
      </c>
      <c r="F14" s="25" t="s">
        <v>176</v>
      </c>
      <c r="G14" s="25" t="s">
        <v>14</v>
      </c>
      <c r="H14" s="24" t="s">
        <v>173</v>
      </c>
    </row>
    <row r="15" spans="1:8" ht="20" customHeight="1">
      <c r="A15" s="18">
        <v>14</v>
      </c>
      <c r="B15" s="26" t="s">
        <v>72</v>
      </c>
      <c r="C15" s="30" t="s">
        <v>2</v>
      </c>
      <c r="D15" s="27" t="s">
        <v>171</v>
      </c>
      <c r="E15" s="28" t="s">
        <v>71</v>
      </c>
      <c r="F15" s="28" t="s">
        <v>71</v>
      </c>
      <c r="G15" s="28" t="s">
        <v>71</v>
      </c>
      <c r="H15" s="27" t="s">
        <v>170</v>
      </c>
    </row>
    <row r="16" spans="1:8" ht="20" customHeight="1">
      <c r="A16" s="14">
        <v>15</v>
      </c>
      <c r="B16" s="23" t="s">
        <v>115</v>
      </c>
      <c r="C16" s="29"/>
      <c r="D16" s="24" t="s">
        <v>166</v>
      </c>
      <c r="E16" s="25" t="s">
        <v>177</v>
      </c>
      <c r="F16" s="25" t="s">
        <v>44</v>
      </c>
      <c r="G16" s="25" t="s">
        <v>44</v>
      </c>
      <c r="H16" s="24" t="s">
        <v>164</v>
      </c>
    </row>
    <row r="17" spans="1:8" ht="20" customHeight="1">
      <c r="A17" s="18">
        <v>16</v>
      </c>
      <c r="B17" s="26" t="s">
        <v>125</v>
      </c>
      <c r="C17" s="30"/>
      <c r="D17" s="27" t="s">
        <v>166</v>
      </c>
      <c r="E17" s="28" t="s">
        <v>169</v>
      </c>
      <c r="F17" s="28" t="s">
        <v>47</v>
      </c>
      <c r="G17" s="28" t="s">
        <v>47</v>
      </c>
      <c r="H17" s="27" t="s">
        <v>170</v>
      </c>
    </row>
    <row r="18" spans="1:8" ht="20" customHeight="1">
      <c r="A18" s="14">
        <v>17</v>
      </c>
      <c r="B18" s="23" t="s">
        <v>18</v>
      </c>
      <c r="C18" s="21" t="s">
        <v>2</v>
      </c>
      <c r="D18" s="24" t="s">
        <v>171</v>
      </c>
      <c r="E18" s="25" t="s">
        <v>176</v>
      </c>
      <c r="F18" s="25" t="s">
        <v>176</v>
      </c>
      <c r="G18" s="25" t="s">
        <v>17</v>
      </c>
      <c r="H18" s="24" t="s">
        <v>173</v>
      </c>
    </row>
    <row r="19" spans="1:8" ht="20" customHeight="1">
      <c r="A19" s="18">
        <v>18</v>
      </c>
      <c r="B19" s="26" t="s">
        <v>116</v>
      </c>
      <c r="C19" s="30"/>
      <c r="D19" s="27" t="s">
        <v>166</v>
      </c>
      <c r="E19" s="28" t="s">
        <v>177</v>
      </c>
      <c r="F19" s="28" t="s">
        <v>44</v>
      </c>
      <c r="G19" s="28" t="s">
        <v>44</v>
      </c>
      <c r="H19" s="27" t="s">
        <v>164</v>
      </c>
    </row>
    <row r="20" spans="1:8" ht="20" customHeight="1">
      <c r="A20" s="14">
        <v>19</v>
      </c>
      <c r="B20" s="23" t="s">
        <v>144</v>
      </c>
      <c r="C20" s="29"/>
      <c r="D20" s="24" t="s">
        <v>171</v>
      </c>
      <c r="E20" s="25" t="s">
        <v>68</v>
      </c>
      <c r="F20" s="25" t="s">
        <v>68</v>
      </c>
      <c r="G20" s="25" t="s">
        <v>68</v>
      </c>
      <c r="H20" s="24" t="s">
        <v>173</v>
      </c>
    </row>
    <row r="21" spans="1:8" ht="20" customHeight="1">
      <c r="A21" s="18">
        <v>20</v>
      </c>
      <c r="B21" s="26" t="s">
        <v>21</v>
      </c>
      <c r="C21" s="20" t="s">
        <v>2</v>
      </c>
      <c r="D21" s="27" t="s">
        <v>171</v>
      </c>
      <c r="E21" s="28" t="s">
        <v>20</v>
      </c>
      <c r="F21" s="28" t="s">
        <v>20</v>
      </c>
      <c r="G21" s="28" t="s">
        <v>20</v>
      </c>
      <c r="H21" s="27" t="s">
        <v>170</v>
      </c>
    </row>
    <row r="22" spans="1:8" ht="20" customHeight="1">
      <c r="A22" s="14">
        <v>21</v>
      </c>
      <c r="B22" s="23" t="s">
        <v>93</v>
      </c>
      <c r="C22" s="29"/>
      <c r="D22" s="24" t="s">
        <v>171</v>
      </c>
      <c r="E22" s="25" t="s">
        <v>172</v>
      </c>
      <c r="F22" s="25" t="s">
        <v>23</v>
      </c>
      <c r="G22" s="25" t="s">
        <v>23</v>
      </c>
      <c r="H22" s="24" t="s">
        <v>173</v>
      </c>
    </row>
    <row r="23" spans="1:8" ht="20" customHeight="1">
      <c r="A23" s="18">
        <v>22</v>
      </c>
      <c r="B23" s="26" t="s">
        <v>9</v>
      </c>
      <c r="C23" s="20" t="s">
        <v>2</v>
      </c>
      <c r="D23" s="27" t="s">
        <v>171</v>
      </c>
      <c r="E23" s="28" t="s">
        <v>176</v>
      </c>
      <c r="F23" s="28" t="s">
        <v>176</v>
      </c>
      <c r="G23" s="28" t="s">
        <v>8</v>
      </c>
      <c r="H23" s="27" t="s">
        <v>173</v>
      </c>
    </row>
    <row r="24" spans="1:8" ht="20" customHeight="1">
      <c r="A24" s="14">
        <v>23</v>
      </c>
      <c r="B24" s="23" t="s">
        <v>54</v>
      </c>
      <c r="C24" s="21" t="s">
        <v>2</v>
      </c>
      <c r="D24" s="24" t="s">
        <v>166</v>
      </c>
      <c r="E24" s="25" t="s">
        <v>167</v>
      </c>
      <c r="F24" s="25" t="s">
        <v>53</v>
      </c>
      <c r="G24" s="25" t="s">
        <v>53</v>
      </c>
      <c r="H24" s="24" t="s">
        <v>168</v>
      </c>
    </row>
    <row r="25" spans="1:8" ht="20" customHeight="1">
      <c r="A25" s="18">
        <v>24</v>
      </c>
      <c r="B25" s="26" t="s">
        <v>12</v>
      </c>
      <c r="C25" s="20" t="s">
        <v>2</v>
      </c>
      <c r="D25" s="27" t="s">
        <v>171</v>
      </c>
      <c r="E25" s="28" t="s">
        <v>176</v>
      </c>
      <c r="F25" s="28" t="s">
        <v>176</v>
      </c>
      <c r="G25" s="28" t="s">
        <v>11</v>
      </c>
      <c r="H25" s="27" t="s">
        <v>173</v>
      </c>
    </row>
    <row r="26" spans="1:8" ht="20" customHeight="1">
      <c r="A26" s="14">
        <v>25</v>
      </c>
      <c r="B26" s="23" t="s">
        <v>101</v>
      </c>
      <c r="C26" s="29"/>
      <c r="D26" s="24" t="s">
        <v>171</v>
      </c>
      <c r="E26" s="25" t="s">
        <v>32</v>
      </c>
      <c r="F26" s="25" t="s">
        <v>32</v>
      </c>
      <c r="G26" s="25" t="s">
        <v>32</v>
      </c>
      <c r="H26" s="24" t="s">
        <v>170</v>
      </c>
    </row>
    <row r="27" spans="1:8" ht="20" customHeight="1">
      <c r="A27" s="18">
        <v>26</v>
      </c>
      <c r="B27" s="26" t="s">
        <v>81</v>
      </c>
      <c r="C27" s="30"/>
      <c r="D27" s="27" t="s">
        <v>171</v>
      </c>
      <c r="E27" s="28" t="s">
        <v>176</v>
      </c>
      <c r="F27" s="28" t="s">
        <v>176</v>
      </c>
      <c r="G27" s="28" t="s">
        <v>8</v>
      </c>
      <c r="H27" s="27" t="s">
        <v>173</v>
      </c>
    </row>
    <row r="28" spans="1:8" ht="20" customHeight="1">
      <c r="A28" s="14">
        <v>27</v>
      </c>
      <c r="B28" s="23" t="s">
        <v>79</v>
      </c>
      <c r="C28" s="21"/>
      <c r="D28" s="24" t="s">
        <v>171</v>
      </c>
      <c r="E28" s="25" t="s">
        <v>32</v>
      </c>
      <c r="F28" s="25" t="s">
        <v>32</v>
      </c>
      <c r="G28" s="25" t="s">
        <v>32</v>
      </c>
      <c r="H28" s="24" t="s">
        <v>170</v>
      </c>
    </row>
    <row r="29" spans="1:8" ht="20" customHeight="1">
      <c r="A29" s="18">
        <v>28</v>
      </c>
      <c r="B29" s="26" t="s">
        <v>110</v>
      </c>
      <c r="C29" s="30"/>
      <c r="D29" s="27" t="s">
        <v>166</v>
      </c>
      <c r="E29" s="28" t="s">
        <v>177</v>
      </c>
      <c r="F29" s="28" t="s">
        <v>41</v>
      </c>
      <c r="G29" s="28" t="s">
        <v>41</v>
      </c>
      <c r="H29" s="27" t="s">
        <v>170</v>
      </c>
    </row>
    <row r="30" spans="1:8" ht="20" customHeight="1">
      <c r="A30" s="14">
        <v>29</v>
      </c>
      <c r="B30" s="23" t="s">
        <v>141</v>
      </c>
      <c r="C30" s="29"/>
      <c r="D30" s="24" t="s">
        <v>178</v>
      </c>
      <c r="E30" s="25" t="s">
        <v>62</v>
      </c>
      <c r="F30" s="25" t="s">
        <v>65</v>
      </c>
      <c r="G30" s="25" t="s">
        <v>65</v>
      </c>
      <c r="H30" s="24" t="s">
        <v>173</v>
      </c>
    </row>
    <row r="31" spans="1:8" ht="20" customHeight="1">
      <c r="A31" s="18">
        <v>30</v>
      </c>
      <c r="B31" s="26" t="s">
        <v>118</v>
      </c>
      <c r="C31" s="30"/>
      <c r="D31" s="27" t="s">
        <v>166</v>
      </c>
      <c r="E31" s="28" t="s">
        <v>177</v>
      </c>
      <c r="F31" s="28" t="s">
        <v>44</v>
      </c>
      <c r="G31" s="28" t="s">
        <v>44</v>
      </c>
      <c r="H31" s="27" t="s">
        <v>164</v>
      </c>
    </row>
    <row r="32" spans="1:8" ht="20" customHeight="1">
      <c r="A32" s="14">
        <v>31</v>
      </c>
      <c r="B32" s="23" t="s">
        <v>150</v>
      </c>
      <c r="C32" s="29"/>
      <c r="D32" s="24" t="s">
        <v>166</v>
      </c>
      <c r="E32" s="25" t="s">
        <v>169</v>
      </c>
      <c r="F32" s="25" t="s">
        <v>73</v>
      </c>
      <c r="G32" s="25" t="s">
        <v>73</v>
      </c>
      <c r="H32" s="24" t="s">
        <v>170</v>
      </c>
    </row>
    <row r="33" spans="1:8" ht="20" customHeight="1">
      <c r="A33" s="18">
        <v>32</v>
      </c>
      <c r="B33" s="26" t="s">
        <v>119</v>
      </c>
      <c r="C33" s="30"/>
      <c r="D33" s="27" t="s">
        <v>166</v>
      </c>
      <c r="E33" s="28" t="s">
        <v>177</v>
      </c>
      <c r="F33" s="28" t="s">
        <v>44</v>
      </c>
      <c r="G33" s="28" t="s">
        <v>44</v>
      </c>
      <c r="H33" s="27" t="s">
        <v>164</v>
      </c>
    </row>
    <row r="34" spans="1:8" ht="20" customHeight="1">
      <c r="A34" s="14">
        <v>33</v>
      </c>
      <c r="B34" s="23" t="s">
        <v>136</v>
      </c>
      <c r="C34" s="29"/>
      <c r="D34" s="24" t="s">
        <v>166</v>
      </c>
      <c r="E34" s="25" t="s">
        <v>167</v>
      </c>
      <c r="F34" s="25" t="s">
        <v>53</v>
      </c>
      <c r="G34" s="25" t="s">
        <v>53</v>
      </c>
      <c r="H34" s="24" t="s">
        <v>168</v>
      </c>
    </row>
    <row r="35" spans="1:8" ht="20" customHeight="1">
      <c r="A35" s="18">
        <v>34</v>
      </c>
      <c r="B35" s="26" t="s">
        <v>148</v>
      </c>
      <c r="C35" s="30"/>
      <c r="D35" s="27" t="s">
        <v>171</v>
      </c>
      <c r="E35" s="28" t="s">
        <v>71</v>
      </c>
      <c r="F35" s="28" t="s">
        <v>71</v>
      </c>
      <c r="G35" s="28" t="s">
        <v>71</v>
      </c>
      <c r="H35" s="27" t="s">
        <v>170</v>
      </c>
    </row>
    <row r="36" spans="1:8" ht="20" customHeight="1">
      <c r="A36" s="14">
        <v>35</v>
      </c>
      <c r="B36" s="23" t="s">
        <v>105</v>
      </c>
      <c r="C36" s="29"/>
      <c r="D36" s="24" t="s">
        <v>166</v>
      </c>
      <c r="E36" s="25" t="s">
        <v>35</v>
      </c>
      <c r="F36" s="25" t="s">
        <v>35</v>
      </c>
      <c r="G36" s="25" t="s">
        <v>35</v>
      </c>
      <c r="H36" s="24" t="s">
        <v>164</v>
      </c>
    </row>
    <row r="37" spans="1:8" ht="20" customHeight="1">
      <c r="A37" s="18">
        <v>36</v>
      </c>
      <c r="B37" s="26" t="s">
        <v>30</v>
      </c>
      <c r="C37" s="20" t="s">
        <v>2</v>
      </c>
      <c r="D37" s="27" t="s">
        <v>171</v>
      </c>
      <c r="E37" s="28" t="s">
        <v>172</v>
      </c>
      <c r="F37" s="28" t="s">
        <v>29</v>
      </c>
      <c r="G37" s="28" t="s">
        <v>29</v>
      </c>
      <c r="H37" s="27" t="s">
        <v>164</v>
      </c>
    </row>
    <row r="38" spans="1:8" ht="20" customHeight="1">
      <c r="A38" s="14">
        <v>37</v>
      </c>
      <c r="B38" s="23" t="s">
        <v>102</v>
      </c>
      <c r="C38" s="29"/>
      <c r="D38" s="24" t="s">
        <v>171</v>
      </c>
      <c r="E38" s="25" t="s">
        <v>32</v>
      </c>
      <c r="F38" s="25" t="s">
        <v>32</v>
      </c>
      <c r="G38" s="25" t="s">
        <v>32</v>
      </c>
      <c r="H38" s="24" t="s">
        <v>170</v>
      </c>
    </row>
    <row r="39" spans="1:8" ht="20" customHeight="1">
      <c r="A39" s="18">
        <v>38</v>
      </c>
      <c r="B39" s="26" t="s">
        <v>129</v>
      </c>
      <c r="C39" s="30"/>
      <c r="D39" s="27" t="s">
        <v>166</v>
      </c>
      <c r="E39" s="28" t="s">
        <v>167</v>
      </c>
      <c r="F39" s="28" t="s">
        <v>50</v>
      </c>
      <c r="G39" s="28" t="s">
        <v>50</v>
      </c>
      <c r="H39" s="27" t="s">
        <v>164</v>
      </c>
    </row>
    <row r="40" spans="1:8" ht="20" customHeight="1">
      <c r="A40" s="14">
        <v>39</v>
      </c>
      <c r="B40" s="23" t="s">
        <v>120</v>
      </c>
      <c r="C40" s="29"/>
      <c r="D40" s="24" t="s">
        <v>166</v>
      </c>
      <c r="E40" s="25" t="s">
        <v>177</v>
      </c>
      <c r="F40" s="25" t="s">
        <v>44</v>
      </c>
      <c r="G40" s="25" t="s">
        <v>44</v>
      </c>
      <c r="H40" s="24" t="s">
        <v>164</v>
      </c>
    </row>
    <row r="41" spans="1:8" ht="20" customHeight="1">
      <c r="A41" s="18">
        <v>40</v>
      </c>
      <c r="B41" s="26" t="s">
        <v>107</v>
      </c>
      <c r="C41" s="30"/>
      <c r="D41" s="27" t="s">
        <v>166</v>
      </c>
      <c r="E41" s="28" t="s">
        <v>38</v>
      </c>
      <c r="F41" s="28" t="s">
        <v>38</v>
      </c>
      <c r="G41" s="28" t="s">
        <v>38</v>
      </c>
      <c r="H41" s="27" t="s">
        <v>170</v>
      </c>
    </row>
    <row r="42" spans="1:8" ht="20" customHeight="1">
      <c r="A42" s="14">
        <v>41</v>
      </c>
      <c r="B42" s="23" t="s">
        <v>111</v>
      </c>
      <c r="C42" s="29"/>
      <c r="D42" s="24" t="s">
        <v>166</v>
      </c>
      <c r="E42" s="25" t="s">
        <v>177</v>
      </c>
      <c r="F42" s="25" t="s">
        <v>41</v>
      </c>
      <c r="G42" s="25" t="s">
        <v>41</v>
      </c>
      <c r="H42" s="24" t="s">
        <v>170</v>
      </c>
    </row>
    <row r="43" spans="1:8" ht="20" customHeight="1">
      <c r="A43" s="18">
        <v>42</v>
      </c>
      <c r="B43" s="26" t="s">
        <v>126</v>
      </c>
      <c r="C43" s="30"/>
      <c r="D43" s="27" t="s">
        <v>166</v>
      </c>
      <c r="E43" s="28" t="s">
        <v>169</v>
      </c>
      <c r="F43" s="28" t="s">
        <v>47</v>
      </c>
      <c r="G43" s="28" t="s">
        <v>47</v>
      </c>
      <c r="H43" s="27" t="s">
        <v>170</v>
      </c>
    </row>
    <row r="44" spans="1:8" ht="20" customHeight="1">
      <c r="A44" s="14">
        <v>43</v>
      </c>
      <c r="B44" s="23" t="s">
        <v>82</v>
      </c>
      <c r="C44" s="29"/>
      <c r="D44" s="24" t="s">
        <v>171</v>
      </c>
      <c r="E44" s="25" t="s">
        <v>176</v>
      </c>
      <c r="F44" s="25" t="s">
        <v>176</v>
      </c>
      <c r="G44" s="25" t="s">
        <v>11</v>
      </c>
      <c r="H44" s="24" t="s">
        <v>173</v>
      </c>
    </row>
    <row r="45" spans="1:8" ht="20" customHeight="1">
      <c r="A45" s="18">
        <v>44</v>
      </c>
      <c r="B45" s="26" t="s">
        <v>121</v>
      </c>
      <c r="C45" s="30"/>
      <c r="D45" s="27" t="s">
        <v>166</v>
      </c>
      <c r="E45" s="28" t="s">
        <v>177</v>
      </c>
      <c r="F45" s="28" t="s">
        <v>44</v>
      </c>
      <c r="G45" s="28" t="s">
        <v>44</v>
      </c>
      <c r="H45" s="27" t="s">
        <v>164</v>
      </c>
    </row>
    <row r="46" spans="1:8" ht="20" customHeight="1">
      <c r="A46" s="14">
        <v>45</v>
      </c>
      <c r="B46" s="23" t="s">
        <v>122</v>
      </c>
      <c r="C46" s="29"/>
      <c r="D46" s="24" t="s">
        <v>166</v>
      </c>
      <c r="E46" s="25" t="s">
        <v>177</v>
      </c>
      <c r="F46" s="25" t="s">
        <v>44</v>
      </c>
      <c r="G46" s="25" t="s">
        <v>44</v>
      </c>
      <c r="H46" s="24" t="s">
        <v>164</v>
      </c>
    </row>
    <row r="47" spans="1:8" ht="20" customHeight="1">
      <c r="A47" s="18">
        <v>46</v>
      </c>
      <c r="B47" s="26" t="s">
        <v>151</v>
      </c>
      <c r="C47" s="30"/>
      <c r="D47" s="27" t="s">
        <v>166</v>
      </c>
      <c r="E47" s="28" t="s">
        <v>169</v>
      </c>
      <c r="F47" s="28" t="s">
        <v>73</v>
      </c>
      <c r="G47" s="28" t="s">
        <v>73</v>
      </c>
      <c r="H47" s="27" t="s">
        <v>170</v>
      </c>
    </row>
    <row r="48" spans="1:8" ht="20" customHeight="1">
      <c r="A48" s="14">
        <v>47</v>
      </c>
      <c r="B48" s="23" t="s">
        <v>94</v>
      </c>
      <c r="C48" s="29"/>
      <c r="D48" s="24" t="s">
        <v>171</v>
      </c>
      <c r="E48" s="25" t="s">
        <v>172</v>
      </c>
      <c r="F48" s="25" t="s">
        <v>23</v>
      </c>
      <c r="G48" s="25" t="s">
        <v>23</v>
      </c>
      <c r="H48" s="24" t="s">
        <v>173</v>
      </c>
    </row>
    <row r="49" spans="1:8" ht="20" customHeight="1">
      <c r="A49" s="18">
        <v>48</v>
      </c>
      <c r="B49" s="26" t="s">
        <v>57</v>
      </c>
      <c r="C49" s="20" t="s">
        <v>2</v>
      </c>
      <c r="D49" s="27" t="s">
        <v>166</v>
      </c>
      <c r="E49" s="28" t="s">
        <v>56</v>
      </c>
      <c r="F49" s="28" t="s">
        <v>56</v>
      </c>
      <c r="G49" s="28" t="s">
        <v>56</v>
      </c>
      <c r="H49" s="27" t="s">
        <v>170</v>
      </c>
    </row>
    <row r="50" spans="1:8" ht="20" customHeight="1">
      <c r="A50" s="14">
        <v>49</v>
      </c>
      <c r="B50" s="23" t="s">
        <v>15</v>
      </c>
      <c r="C50" s="29" t="s">
        <v>2</v>
      </c>
      <c r="D50" s="24" t="s">
        <v>171</v>
      </c>
      <c r="E50" s="25" t="s">
        <v>176</v>
      </c>
      <c r="F50" s="25" t="s">
        <v>176</v>
      </c>
      <c r="G50" s="25" t="s">
        <v>14</v>
      </c>
      <c r="H50" s="24" t="s">
        <v>173</v>
      </c>
    </row>
    <row r="51" spans="1:8" ht="20" customHeight="1">
      <c r="A51" s="18">
        <v>50</v>
      </c>
      <c r="B51" s="26" t="s">
        <v>96</v>
      </c>
      <c r="C51" s="30"/>
      <c r="D51" s="27" t="s">
        <v>171</v>
      </c>
      <c r="E51" s="28" t="s">
        <v>172</v>
      </c>
      <c r="F51" s="28" t="s">
        <v>23</v>
      </c>
      <c r="G51" s="28" t="s">
        <v>23</v>
      </c>
      <c r="H51" s="27" t="s">
        <v>173</v>
      </c>
    </row>
    <row r="52" spans="1:8" ht="20" customHeight="1">
      <c r="A52" s="14">
        <v>51</v>
      </c>
      <c r="B52" s="23" t="s">
        <v>127</v>
      </c>
      <c r="C52" s="29"/>
      <c r="D52" s="24" t="s">
        <v>166</v>
      </c>
      <c r="E52" s="25" t="s">
        <v>169</v>
      </c>
      <c r="F52" s="25" t="s">
        <v>47</v>
      </c>
      <c r="G52" s="25" t="s">
        <v>47</v>
      </c>
      <c r="H52" s="24" t="s">
        <v>170</v>
      </c>
    </row>
    <row r="53" spans="1:8" ht="20" customHeight="1">
      <c r="A53" s="18">
        <v>52</v>
      </c>
      <c r="B53" s="26" t="s">
        <v>130</v>
      </c>
      <c r="C53" s="30"/>
      <c r="D53" s="27" t="s">
        <v>166</v>
      </c>
      <c r="E53" s="28" t="s">
        <v>167</v>
      </c>
      <c r="F53" s="28" t="s">
        <v>50</v>
      </c>
      <c r="G53" s="28" t="s">
        <v>50</v>
      </c>
      <c r="H53" s="27" t="s">
        <v>164</v>
      </c>
    </row>
    <row r="54" spans="1:8" ht="20" customHeight="1">
      <c r="A54" s="14">
        <v>53</v>
      </c>
      <c r="B54" s="23" t="s">
        <v>36</v>
      </c>
      <c r="C54" s="29" t="s">
        <v>2</v>
      </c>
      <c r="D54" s="24" t="s">
        <v>166</v>
      </c>
      <c r="E54" s="25" t="s">
        <v>35</v>
      </c>
      <c r="F54" s="25" t="s">
        <v>35</v>
      </c>
      <c r="G54" s="25" t="s">
        <v>35</v>
      </c>
      <c r="H54" s="24" t="s">
        <v>164</v>
      </c>
    </row>
    <row r="55" spans="1:8" ht="20" customHeight="1">
      <c r="A55" s="18">
        <v>54</v>
      </c>
      <c r="B55" s="26" t="s">
        <v>145</v>
      </c>
      <c r="C55" s="30"/>
      <c r="D55" s="27" t="s">
        <v>179</v>
      </c>
      <c r="E55" s="28" t="s">
        <v>69</v>
      </c>
      <c r="F55" s="28" t="s">
        <v>69</v>
      </c>
      <c r="G55" s="28" t="s">
        <v>69</v>
      </c>
      <c r="H55" s="27" t="s">
        <v>164</v>
      </c>
    </row>
    <row r="56" spans="1:8" ht="20" customHeight="1">
      <c r="A56" s="14">
        <v>55</v>
      </c>
      <c r="B56" s="23" t="s">
        <v>152</v>
      </c>
      <c r="C56" s="29"/>
      <c r="D56" s="24" t="s">
        <v>166</v>
      </c>
      <c r="E56" s="25" t="s">
        <v>169</v>
      </c>
      <c r="F56" s="25" t="s">
        <v>73</v>
      </c>
      <c r="G56" s="25" t="s">
        <v>73</v>
      </c>
      <c r="H56" s="24" t="s">
        <v>170</v>
      </c>
    </row>
    <row r="57" spans="1:8" ht="20" customHeight="1">
      <c r="A57" s="18">
        <v>56</v>
      </c>
      <c r="B57" s="26" t="s">
        <v>138</v>
      </c>
      <c r="C57" s="30"/>
      <c r="D57" s="27" t="s">
        <v>166</v>
      </c>
      <c r="E57" s="28" t="s">
        <v>56</v>
      </c>
      <c r="F57" s="28" t="s">
        <v>56</v>
      </c>
      <c r="G57" s="28" t="s">
        <v>56</v>
      </c>
      <c r="H57" s="27" t="s">
        <v>170</v>
      </c>
    </row>
    <row r="58" spans="1:8" ht="20" customHeight="1">
      <c r="A58" s="14">
        <v>57</v>
      </c>
      <c r="B58" s="23" t="s">
        <v>27</v>
      </c>
      <c r="C58" s="29" t="s">
        <v>2</v>
      </c>
      <c r="D58" s="24" t="s">
        <v>171</v>
      </c>
      <c r="E58" s="25" t="s">
        <v>172</v>
      </c>
      <c r="F58" s="25" t="s">
        <v>26</v>
      </c>
      <c r="G58" s="25" t="s">
        <v>26</v>
      </c>
      <c r="H58" s="24" t="s">
        <v>173</v>
      </c>
    </row>
    <row r="59" spans="1:8" ht="20" customHeight="1">
      <c r="A59" s="18">
        <v>58</v>
      </c>
      <c r="B59" s="26" t="s">
        <v>137</v>
      </c>
      <c r="C59" s="30"/>
      <c r="D59" s="27" t="s">
        <v>166</v>
      </c>
      <c r="E59" s="28" t="s">
        <v>167</v>
      </c>
      <c r="F59" s="28" t="s">
        <v>53</v>
      </c>
      <c r="G59" s="28" t="s">
        <v>53</v>
      </c>
      <c r="H59" s="27" t="s">
        <v>168</v>
      </c>
    </row>
    <row r="60" spans="1:8" ht="20" customHeight="1">
      <c r="A60" s="14">
        <v>59</v>
      </c>
      <c r="B60" s="23" t="s">
        <v>83</v>
      </c>
      <c r="C60" s="29"/>
      <c r="D60" s="24" t="s">
        <v>171</v>
      </c>
      <c r="E60" s="25" t="s">
        <v>176</v>
      </c>
      <c r="F60" s="25" t="s">
        <v>176</v>
      </c>
      <c r="G60" s="25" t="s">
        <v>11</v>
      </c>
      <c r="H60" s="24" t="s">
        <v>173</v>
      </c>
    </row>
    <row r="61" spans="1:8" ht="20" customHeight="1">
      <c r="A61" s="18">
        <v>60</v>
      </c>
      <c r="B61" s="26" t="s">
        <v>88</v>
      </c>
      <c r="C61" s="30"/>
      <c r="D61" s="27" t="s">
        <v>171</v>
      </c>
      <c r="E61" s="28" t="s">
        <v>176</v>
      </c>
      <c r="F61" s="28" t="s">
        <v>176</v>
      </c>
      <c r="G61" s="28" t="s">
        <v>14</v>
      </c>
      <c r="H61" s="27" t="s">
        <v>173</v>
      </c>
    </row>
    <row r="62" spans="1:8" ht="20" customHeight="1">
      <c r="A62" s="14">
        <v>61</v>
      </c>
      <c r="B62" s="23" t="s">
        <v>84</v>
      </c>
      <c r="C62" s="31"/>
      <c r="D62" s="24" t="s">
        <v>171</v>
      </c>
      <c r="E62" s="25" t="s">
        <v>176</v>
      </c>
      <c r="F62" s="25" t="s">
        <v>176</v>
      </c>
      <c r="G62" s="25" t="s">
        <v>11</v>
      </c>
      <c r="H62" s="24" t="s">
        <v>173</v>
      </c>
    </row>
    <row r="63" spans="1:8" ht="20" customHeight="1">
      <c r="A63" s="18">
        <v>62</v>
      </c>
      <c r="B63" s="26" t="s">
        <v>123</v>
      </c>
      <c r="C63" s="30"/>
      <c r="D63" s="27" t="s">
        <v>166</v>
      </c>
      <c r="E63" s="28" t="s">
        <v>177</v>
      </c>
      <c r="F63" s="28" t="s">
        <v>44</v>
      </c>
      <c r="G63" s="28" t="s">
        <v>44</v>
      </c>
      <c r="H63" s="27" t="s">
        <v>164</v>
      </c>
    </row>
    <row r="64" spans="1:8" ht="20" customHeight="1">
      <c r="A64" s="14">
        <v>63</v>
      </c>
      <c r="B64" s="23" t="s">
        <v>112</v>
      </c>
      <c r="C64" s="29"/>
      <c r="D64" s="24" t="s">
        <v>166</v>
      </c>
      <c r="E64" s="25" t="s">
        <v>177</v>
      </c>
      <c r="F64" s="25" t="s">
        <v>41</v>
      </c>
      <c r="G64" s="25" t="s">
        <v>41</v>
      </c>
      <c r="H64" s="24" t="s">
        <v>170</v>
      </c>
    </row>
    <row r="65" spans="1:8" ht="20" customHeight="1">
      <c r="A65" s="18">
        <v>64</v>
      </c>
      <c r="B65" s="26" t="s">
        <v>106</v>
      </c>
      <c r="C65" s="30"/>
      <c r="D65" s="27" t="s">
        <v>166</v>
      </c>
      <c r="E65" s="28" t="s">
        <v>35</v>
      </c>
      <c r="F65" s="28" t="s">
        <v>35</v>
      </c>
      <c r="G65" s="28" t="s">
        <v>35</v>
      </c>
      <c r="H65" s="27" t="s">
        <v>164</v>
      </c>
    </row>
    <row r="66" spans="1:8" ht="20" customHeight="1">
      <c r="A66" s="14">
        <v>65</v>
      </c>
      <c r="B66" s="23" t="s">
        <v>180</v>
      </c>
      <c r="C66" s="21"/>
      <c r="D66" s="24" t="s">
        <v>181</v>
      </c>
      <c r="E66" s="25" t="s">
        <v>62</v>
      </c>
      <c r="F66" s="25" t="s">
        <v>62</v>
      </c>
      <c r="G66" s="25" t="s">
        <v>62</v>
      </c>
      <c r="H66" s="24" t="s">
        <v>173</v>
      </c>
    </row>
    <row r="67" spans="1:8" ht="20" customHeight="1">
      <c r="A67" s="18">
        <v>66</v>
      </c>
      <c r="B67" s="26" t="s">
        <v>108</v>
      </c>
      <c r="C67" s="30"/>
      <c r="D67" s="27" t="s">
        <v>166</v>
      </c>
      <c r="E67" s="28" t="s">
        <v>38</v>
      </c>
      <c r="F67" s="28" t="s">
        <v>38</v>
      </c>
      <c r="G67" s="28" t="s">
        <v>38</v>
      </c>
      <c r="H67" s="27" t="s">
        <v>170</v>
      </c>
    </row>
    <row r="68" spans="1:8" ht="20" customHeight="1">
      <c r="A68" s="14">
        <v>67</v>
      </c>
      <c r="B68" s="23" t="s">
        <v>140</v>
      </c>
      <c r="C68" s="29"/>
      <c r="D68" s="24" t="s">
        <v>178</v>
      </c>
      <c r="E68" s="25" t="s">
        <v>62</v>
      </c>
      <c r="F68" s="25" t="s">
        <v>62</v>
      </c>
      <c r="G68" s="25" t="s">
        <v>62</v>
      </c>
      <c r="H68" s="24" t="s">
        <v>173</v>
      </c>
    </row>
    <row r="69" spans="1:8" ht="20" customHeight="1">
      <c r="A69" s="18">
        <v>68</v>
      </c>
      <c r="B69" s="26" t="s">
        <v>39</v>
      </c>
      <c r="C69" s="20" t="s">
        <v>2</v>
      </c>
      <c r="D69" s="27" t="s">
        <v>182</v>
      </c>
      <c r="E69" s="28" t="s">
        <v>38</v>
      </c>
      <c r="F69" s="28" t="s">
        <v>38</v>
      </c>
      <c r="G69" s="28" t="s">
        <v>38</v>
      </c>
      <c r="H69" s="27" t="s">
        <v>170</v>
      </c>
    </row>
    <row r="70" spans="1:8" ht="20" customHeight="1">
      <c r="A70" s="14">
        <v>69</v>
      </c>
      <c r="B70" s="23" t="s">
        <v>74</v>
      </c>
      <c r="C70" s="29" t="s">
        <v>2</v>
      </c>
      <c r="D70" s="24" t="s">
        <v>166</v>
      </c>
      <c r="E70" s="25" t="s">
        <v>169</v>
      </c>
      <c r="F70" s="25" t="s">
        <v>73</v>
      </c>
      <c r="G70" s="25" t="s">
        <v>73</v>
      </c>
      <c r="H70" s="24" t="s">
        <v>170</v>
      </c>
    </row>
    <row r="71" spans="1:8" ht="20" customHeight="1">
      <c r="A71" s="18">
        <v>70</v>
      </c>
      <c r="B71" s="26" t="s">
        <v>146</v>
      </c>
      <c r="C71" s="30"/>
      <c r="D71" s="27" t="s">
        <v>179</v>
      </c>
      <c r="E71" s="28" t="s">
        <v>69</v>
      </c>
      <c r="F71" s="28" t="s">
        <v>69</v>
      </c>
      <c r="G71" s="28" t="s">
        <v>69</v>
      </c>
      <c r="H71" s="27" t="s">
        <v>164</v>
      </c>
    </row>
    <row r="72" spans="1:8" ht="20" customHeight="1">
      <c r="A72" s="14">
        <v>71</v>
      </c>
      <c r="B72" s="23" t="s">
        <v>90</v>
      </c>
      <c r="C72" s="29"/>
      <c r="D72" s="24" t="s">
        <v>171</v>
      </c>
      <c r="E72" s="25" t="s">
        <v>20</v>
      </c>
      <c r="F72" s="25" t="s">
        <v>20</v>
      </c>
      <c r="G72" s="25" t="s">
        <v>20</v>
      </c>
      <c r="H72" s="24" t="s">
        <v>170</v>
      </c>
    </row>
    <row r="73" spans="1:8" ht="20" customHeight="1">
      <c r="A73" s="18">
        <v>72</v>
      </c>
      <c r="B73" s="26" t="s">
        <v>66</v>
      </c>
      <c r="C73" s="20" t="s">
        <v>2</v>
      </c>
      <c r="D73" s="27" t="s">
        <v>178</v>
      </c>
      <c r="E73" s="28" t="s">
        <v>62</v>
      </c>
      <c r="F73" s="28" t="s">
        <v>65</v>
      </c>
      <c r="G73" s="28" t="s">
        <v>65</v>
      </c>
      <c r="H73" s="27" t="s">
        <v>173</v>
      </c>
    </row>
    <row r="74" spans="1:8" ht="20" customHeight="1">
      <c r="A74" s="14">
        <v>73</v>
      </c>
      <c r="B74" s="23" t="s">
        <v>131</v>
      </c>
      <c r="C74" s="29"/>
      <c r="D74" s="24" t="s">
        <v>166</v>
      </c>
      <c r="E74" s="25" t="s">
        <v>167</v>
      </c>
      <c r="F74" s="25" t="s">
        <v>50</v>
      </c>
      <c r="G74" s="25" t="s">
        <v>50</v>
      </c>
      <c r="H74" s="24" t="s">
        <v>164</v>
      </c>
    </row>
    <row r="75" spans="1:8" ht="20" customHeight="1">
      <c r="A75" s="18">
        <v>74</v>
      </c>
      <c r="B75" s="26" t="s">
        <v>70</v>
      </c>
      <c r="C75" s="30" t="s">
        <v>2</v>
      </c>
      <c r="D75" s="27" t="s">
        <v>179</v>
      </c>
      <c r="E75" s="28" t="s">
        <v>69</v>
      </c>
      <c r="F75" s="28" t="s">
        <v>69</v>
      </c>
      <c r="G75" s="28" t="s">
        <v>69</v>
      </c>
      <c r="H75" s="27" t="s">
        <v>164</v>
      </c>
    </row>
    <row r="76" spans="1:8" ht="20" customHeight="1">
      <c r="A76" s="14">
        <v>75</v>
      </c>
      <c r="B76" s="23" t="s">
        <v>132</v>
      </c>
      <c r="C76" s="29"/>
      <c r="D76" s="24" t="s">
        <v>166</v>
      </c>
      <c r="E76" s="25" t="s">
        <v>167</v>
      </c>
      <c r="F76" s="25" t="s">
        <v>50</v>
      </c>
      <c r="G76" s="25" t="s">
        <v>50</v>
      </c>
      <c r="H76" s="24" t="s">
        <v>164</v>
      </c>
    </row>
    <row r="77" spans="1:8" ht="20" customHeight="1">
      <c r="A77" s="18">
        <v>76</v>
      </c>
      <c r="B77" s="26" t="s">
        <v>60</v>
      </c>
      <c r="C77" s="20" t="s">
        <v>2</v>
      </c>
      <c r="D77" s="27" t="s">
        <v>183</v>
      </c>
      <c r="E77" s="28" t="s">
        <v>59</v>
      </c>
      <c r="F77" s="28" t="s">
        <v>59</v>
      </c>
      <c r="G77" s="28" t="s">
        <v>59</v>
      </c>
      <c r="H77" s="27" t="s">
        <v>170</v>
      </c>
    </row>
    <row r="78" spans="1:8" ht="20" customHeight="1">
      <c r="A78" s="14">
        <v>77</v>
      </c>
      <c r="B78" s="23" t="s">
        <v>153</v>
      </c>
      <c r="C78" s="29"/>
      <c r="D78" s="24" t="s">
        <v>166</v>
      </c>
      <c r="E78" s="25" t="s">
        <v>169</v>
      </c>
      <c r="F78" s="25" t="s">
        <v>73</v>
      </c>
      <c r="G78" s="25" t="s">
        <v>73</v>
      </c>
      <c r="H78" s="24" t="s">
        <v>170</v>
      </c>
    </row>
    <row r="79" spans="1:8" ht="20" customHeight="1">
      <c r="A79" s="18">
        <v>78</v>
      </c>
      <c r="B79" s="26" t="s">
        <v>128</v>
      </c>
      <c r="C79" s="30"/>
      <c r="D79" s="27" t="s">
        <v>166</v>
      </c>
      <c r="E79" s="28" t="s">
        <v>169</v>
      </c>
      <c r="F79" s="28" t="s">
        <v>47</v>
      </c>
      <c r="G79" s="28" t="s">
        <v>47</v>
      </c>
      <c r="H79" s="27" t="s">
        <v>170</v>
      </c>
    </row>
    <row r="80" spans="1:8" ht="20" customHeight="1">
      <c r="A80" s="14">
        <v>79</v>
      </c>
      <c r="B80" s="23" t="s">
        <v>139</v>
      </c>
      <c r="C80" s="29"/>
      <c r="D80" s="24" t="s">
        <v>166</v>
      </c>
      <c r="E80" s="25" t="s">
        <v>56</v>
      </c>
      <c r="F80" s="25" t="s">
        <v>56</v>
      </c>
      <c r="G80" s="25" t="s">
        <v>56</v>
      </c>
      <c r="H80" s="24" t="s">
        <v>170</v>
      </c>
    </row>
    <row r="81" spans="1:8" ht="20" customHeight="1">
      <c r="A81" s="18">
        <v>80</v>
      </c>
      <c r="B81" s="26" t="s">
        <v>133</v>
      </c>
      <c r="C81" s="30"/>
      <c r="D81" s="27" t="s">
        <v>166</v>
      </c>
      <c r="E81" s="28" t="s">
        <v>167</v>
      </c>
      <c r="F81" s="28" t="s">
        <v>50</v>
      </c>
      <c r="G81" s="28" t="s">
        <v>50</v>
      </c>
      <c r="H81" s="27" t="s">
        <v>164</v>
      </c>
    </row>
    <row r="82" spans="1:8" ht="20" customHeight="1">
      <c r="A82" s="14">
        <v>81</v>
      </c>
      <c r="B82" s="23" t="s">
        <v>89</v>
      </c>
      <c r="C82" s="29"/>
      <c r="D82" s="24" t="s">
        <v>171</v>
      </c>
      <c r="E82" s="25" t="s">
        <v>176</v>
      </c>
      <c r="F82" s="25" t="s">
        <v>176</v>
      </c>
      <c r="G82" s="25" t="s">
        <v>17</v>
      </c>
      <c r="H82" s="24" t="s">
        <v>173</v>
      </c>
    </row>
    <row r="83" spans="1:8" ht="20" customHeight="1">
      <c r="A83" s="18">
        <v>82</v>
      </c>
      <c r="B83" s="26" t="s">
        <v>99</v>
      </c>
      <c r="C83" s="30"/>
      <c r="D83" s="27" t="s">
        <v>171</v>
      </c>
      <c r="E83" s="28" t="s">
        <v>172</v>
      </c>
      <c r="F83" s="28" t="s">
        <v>29</v>
      </c>
      <c r="G83" s="28" t="s">
        <v>29</v>
      </c>
      <c r="H83" s="27" t="s">
        <v>164</v>
      </c>
    </row>
    <row r="84" spans="1:8" ht="20" customHeight="1">
      <c r="A84" s="14">
        <v>83</v>
      </c>
      <c r="B84" s="23" t="s">
        <v>154</v>
      </c>
      <c r="C84" s="29"/>
      <c r="D84" s="24" t="s">
        <v>166</v>
      </c>
      <c r="E84" s="25" t="s">
        <v>169</v>
      </c>
      <c r="F84" s="25" t="s">
        <v>73</v>
      </c>
      <c r="G84" s="25" t="s">
        <v>73</v>
      </c>
      <c r="H84" s="24" t="s">
        <v>170</v>
      </c>
    </row>
    <row r="85" spans="1:8" ht="20" customHeight="1">
      <c r="A85" s="18">
        <v>84</v>
      </c>
      <c r="B85" s="26" t="s">
        <v>97</v>
      </c>
      <c r="C85" s="30"/>
      <c r="D85" s="27" t="s">
        <v>171</v>
      </c>
      <c r="E85" s="28" t="s">
        <v>172</v>
      </c>
      <c r="F85" s="28" t="s">
        <v>26</v>
      </c>
      <c r="G85" s="28" t="s">
        <v>26</v>
      </c>
      <c r="H85" s="27" t="s">
        <v>173</v>
      </c>
    </row>
    <row r="86" spans="1:8" ht="20" customHeight="1">
      <c r="A86" s="14">
        <v>85</v>
      </c>
      <c r="B86" s="23" t="s">
        <v>184</v>
      </c>
      <c r="C86" s="29"/>
      <c r="D86" s="24" t="s">
        <v>171</v>
      </c>
      <c r="E86" s="25" t="s">
        <v>172</v>
      </c>
      <c r="F86" s="25" t="s">
        <v>26</v>
      </c>
      <c r="G86" s="25" t="s">
        <v>26</v>
      </c>
      <c r="H86" s="24" t="s">
        <v>173</v>
      </c>
    </row>
    <row r="87" spans="1:8" ht="20" customHeight="1">
      <c r="A87" s="18">
        <v>86</v>
      </c>
      <c r="B87" s="26" t="s">
        <v>95</v>
      </c>
      <c r="C87" s="30"/>
      <c r="D87" s="27" t="s">
        <v>171</v>
      </c>
      <c r="E87" s="28" t="s">
        <v>172</v>
      </c>
      <c r="F87" s="28" t="s">
        <v>23</v>
      </c>
      <c r="G87" s="28" t="s">
        <v>23</v>
      </c>
      <c r="H87" s="27" t="s">
        <v>173</v>
      </c>
    </row>
    <row r="88" spans="1:8" ht="20" customHeight="1">
      <c r="A88" s="14">
        <v>87</v>
      </c>
      <c r="B88" s="23" t="s">
        <v>85</v>
      </c>
      <c r="C88" s="29"/>
      <c r="D88" s="24" t="s">
        <v>171</v>
      </c>
      <c r="E88" s="25" t="s">
        <v>176</v>
      </c>
      <c r="F88" s="25" t="s">
        <v>176</v>
      </c>
      <c r="G88" s="25" t="s">
        <v>11</v>
      </c>
      <c r="H88" s="24" t="s">
        <v>173</v>
      </c>
    </row>
    <row r="89" spans="1:8" ht="20" customHeight="1">
      <c r="A89" s="18">
        <v>88</v>
      </c>
      <c r="B89" s="26" t="s">
        <v>86</v>
      </c>
      <c r="C89" s="30"/>
      <c r="D89" s="27" t="s">
        <v>171</v>
      </c>
      <c r="E89" s="28" t="s">
        <v>176</v>
      </c>
      <c r="F89" s="28" t="s">
        <v>176</v>
      </c>
      <c r="G89" s="28" t="s">
        <v>11</v>
      </c>
      <c r="H89" s="27" t="s">
        <v>173</v>
      </c>
    </row>
    <row r="90" spans="1:8" ht="20" customHeight="1">
      <c r="A90" s="14">
        <v>89</v>
      </c>
      <c r="B90" s="23" t="s">
        <v>51</v>
      </c>
      <c r="C90" s="21" t="s">
        <v>2</v>
      </c>
      <c r="D90" s="24" t="s">
        <v>166</v>
      </c>
      <c r="E90" s="25" t="s">
        <v>167</v>
      </c>
      <c r="F90" s="25" t="s">
        <v>50</v>
      </c>
      <c r="G90" s="25" t="s">
        <v>50</v>
      </c>
      <c r="H90" s="24" t="s">
        <v>164</v>
      </c>
    </row>
    <row r="91" spans="1:8" ht="20" customHeight="1">
      <c r="A91" s="18">
        <v>90</v>
      </c>
      <c r="B91" s="26" t="s">
        <v>142</v>
      </c>
      <c r="C91" s="30"/>
      <c r="D91" s="27" t="s">
        <v>178</v>
      </c>
      <c r="E91" s="28" t="s">
        <v>62</v>
      </c>
      <c r="F91" s="28" t="s">
        <v>65</v>
      </c>
      <c r="G91" s="28" t="s">
        <v>65</v>
      </c>
      <c r="H91" s="27" t="s">
        <v>173</v>
      </c>
    </row>
    <row r="92" spans="1:8" ht="20" customHeight="1">
      <c r="A92" s="14">
        <v>91</v>
      </c>
      <c r="B92" s="23" t="s">
        <v>124</v>
      </c>
      <c r="C92" s="29"/>
      <c r="D92" s="24" t="s">
        <v>166</v>
      </c>
      <c r="E92" s="25" t="s">
        <v>177</v>
      </c>
      <c r="F92" s="25" t="s">
        <v>44</v>
      </c>
      <c r="G92" s="25" t="s">
        <v>44</v>
      </c>
      <c r="H92" s="24" t="s">
        <v>164</v>
      </c>
    </row>
    <row r="93" spans="1:8" ht="20" customHeight="1">
      <c r="A93" s="18">
        <v>92</v>
      </c>
      <c r="B93" s="26" t="s">
        <v>143</v>
      </c>
      <c r="C93" s="30"/>
      <c r="D93" s="27" t="s">
        <v>178</v>
      </c>
      <c r="E93" s="28" t="s">
        <v>62</v>
      </c>
      <c r="F93" s="28" t="s">
        <v>65</v>
      </c>
      <c r="G93" s="28" t="s">
        <v>65</v>
      </c>
      <c r="H93" s="27" t="s">
        <v>173</v>
      </c>
    </row>
    <row r="94" spans="1:8" ht="20" customHeight="1">
      <c r="A94" s="14">
        <v>93</v>
      </c>
      <c r="B94" s="23" t="s">
        <v>113</v>
      </c>
      <c r="C94" s="29"/>
      <c r="D94" s="24" t="s">
        <v>166</v>
      </c>
      <c r="E94" s="25" t="s">
        <v>177</v>
      </c>
      <c r="F94" s="25" t="s">
        <v>41</v>
      </c>
      <c r="G94" s="25" t="s">
        <v>41</v>
      </c>
      <c r="H94" s="24" t="s">
        <v>170</v>
      </c>
    </row>
    <row r="95" spans="1:8" ht="20" customHeight="1">
      <c r="A95" s="18">
        <v>94</v>
      </c>
      <c r="B95" s="26" t="s">
        <v>149</v>
      </c>
      <c r="C95" s="30"/>
      <c r="D95" s="27" t="s">
        <v>171</v>
      </c>
      <c r="E95" s="28" t="s">
        <v>71</v>
      </c>
      <c r="F95" s="28" t="s">
        <v>71</v>
      </c>
      <c r="G95" s="28" t="s">
        <v>71</v>
      </c>
      <c r="H95" s="27" t="s">
        <v>170</v>
      </c>
    </row>
    <row r="96" spans="1:8" ht="20" customHeight="1">
      <c r="A96" s="14">
        <v>95</v>
      </c>
      <c r="B96" s="23" t="s">
        <v>33</v>
      </c>
      <c r="C96" s="29"/>
      <c r="D96" s="24" t="s">
        <v>185</v>
      </c>
      <c r="E96" s="25" t="s">
        <v>32</v>
      </c>
      <c r="F96" s="25" t="s">
        <v>32</v>
      </c>
      <c r="G96" s="25" t="s">
        <v>32</v>
      </c>
      <c r="H96" s="24" t="s">
        <v>170</v>
      </c>
    </row>
    <row r="97" spans="1:8" ht="20" customHeight="1">
      <c r="A97" s="18">
        <v>96</v>
      </c>
      <c r="B97" s="26" t="s">
        <v>134</v>
      </c>
      <c r="C97" s="30"/>
      <c r="D97" s="27" t="s">
        <v>166</v>
      </c>
      <c r="E97" s="28" t="s">
        <v>167</v>
      </c>
      <c r="F97" s="28" t="s">
        <v>50</v>
      </c>
      <c r="G97" s="28" t="s">
        <v>50</v>
      </c>
      <c r="H97" s="27" t="s">
        <v>164</v>
      </c>
    </row>
    <row r="98" spans="1:8" ht="20" customHeight="1">
      <c r="A98" s="14">
        <v>97</v>
      </c>
      <c r="B98" s="23" t="s">
        <v>100</v>
      </c>
      <c r="C98" s="29"/>
      <c r="D98" s="24" t="s">
        <v>171</v>
      </c>
      <c r="E98" s="25" t="s">
        <v>172</v>
      </c>
      <c r="F98" s="25" t="s">
        <v>29</v>
      </c>
      <c r="G98" s="25" t="s">
        <v>29</v>
      </c>
      <c r="H98" s="24" t="s">
        <v>164</v>
      </c>
    </row>
    <row r="99" spans="1:8" ht="20" customHeight="1">
      <c r="A99" s="18">
        <v>98</v>
      </c>
      <c r="B99" s="26" t="s">
        <v>135</v>
      </c>
      <c r="C99" s="30"/>
      <c r="D99" s="27" t="s">
        <v>166</v>
      </c>
      <c r="E99" s="28" t="s">
        <v>167</v>
      </c>
      <c r="F99" s="28" t="s">
        <v>50</v>
      </c>
      <c r="G99" s="28" t="s">
        <v>50</v>
      </c>
      <c r="H99" s="27" t="s">
        <v>164</v>
      </c>
    </row>
    <row r="100" spans="1:8" ht="20" customHeight="1">
      <c r="A100" s="14">
        <v>99</v>
      </c>
      <c r="B100" s="23" t="s">
        <v>147</v>
      </c>
      <c r="C100" s="29"/>
      <c r="D100" s="24" t="s">
        <v>179</v>
      </c>
      <c r="E100" s="25" t="s">
        <v>69</v>
      </c>
      <c r="F100" s="25" t="s">
        <v>69</v>
      </c>
      <c r="G100" s="25" t="s">
        <v>69</v>
      </c>
      <c r="H100" s="24" t="s">
        <v>164</v>
      </c>
    </row>
    <row r="101" spans="1:8" ht="20" customHeight="1">
      <c r="A101" s="18">
        <v>100</v>
      </c>
      <c r="B101" s="26" t="s">
        <v>98</v>
      </c>
      <c r="C101" s="30"/>
      <c r="D101" s="27" t="s">
        <v>171</v>
      </c>
      <c r="E101" s="28" t="s">
        <v>172</v>
      </c>
      <c r="F101" s="28" t="s">
        <v>26</v>
      </c>
      <c r="G101" s="28" t="s">
        <v>26</v>
      </c>
      <c r="H101" s="27" t="s">
        <v>164</v>
      </c>
    </row>
    <row r="102" spans="1:8" ht="20" customHeight="1">
      <c r="A102" s="14">
        <v>101</v>
      </c>
      <c r="B102" s="23" t="s">
        <v>91</v>
      </c>
      <c r="C102" s="29"/>
      <c r="D102" s="24" t="s">
        <v>171</v>
      </c>
      <c r="E102" s="25" t="s">
        <v>20</v>
      </c>
      <c r="F102" s="25" t="s">
        <v>20</v>
      </c>
      <c r="G102" s="25" t="s">
        <v>20</v>
      </c>
      <c r="H102" s="24" t="s">
        <v>173</v>
      </c>
    </row>
    <row r="103" spans="1:8" ht="20" customHeight="1">
      <c r="A103" s="18" t="s">
        <v>186</v>
      </c>
      <c r="B103" s="26" t="s">
        <v>103</v>
      </c>
      <c r="C103" s="30"/>
      <c r="D103" s="27" t="s">
        <v>166</v>
      </c>
      <c r="E103" s="28" t="s">
        <v>35</v>
      </c>
      <c r="F103" s="28" t="s">
        <v>35</v>
      </c>
      <c r="G103" s="28" t="s">
        <v>35</v>
      </c>
      <c r="H103" s="27" t="s">
        <v>164</v>
      </c>
    </row>
    <row r="104" spans="1:8" ht="20" customHeight="1">
      <c r="A104" s="14" t="s">
        <v>186</v>
      </c>
      <c r="B104" s="23" t="s">
        <v>117</v>
      </c>
      <c r="C104" s="29"/>
      <c r="D104" s="24" t="s">
        <v>166</v>
      </c>
      <c r="E104" s="25" t="s">
        <v>177</v>
      </c>
      <c r="F104" s="25" t="s">
        <v>44</v>
      </c>
      <c r="G104" s="25" t="s">
        <v>44</v>
      </c>
      <c r="H104" s="24" t="s">
        <v>164</v>
      </c>
    </row>
    <row r="105" spans="1:8" ht="20" customHeight="1">
      <c r="A105" s="18"/>
      <c r="B105" s="26"/>
      <c r="C105" s="30"/>
      <c r="D105" s="27"/>
      <c r="E105" s="28"/>
      <c r="F105" s="28"/>
      <c r="G105" s="28"/>
      <c r="H105" s="27"/>
    </row>
    <row r="106" spans="1:8" ht="20" customHeight="1">
      <c r="A106" s="32"/>
      <c r="B106" s="22" t="s">
        <v>75</v>
      </c>
      <c r="C106" s="33">
        <f>SUBTOTAL(3,C2:C105)</f>
        <v>22</v>
      </c>
      <c r="D106" s="33">
        <f t="shared" ref="D106:H106" si="0">SUBTOTAL(3,D2:D105)</f>
        <v>103</v>
      </c>
      <c r="E106" s="33">
        <f t="shared" si="0"/>
        <v>103</v>
      </c>
      <c r="F106" s="33">
        <f t="shared" si="0"/>
        <v>103</v>
      </c>
      <c r="G106" s="33">
        <f t="shared" si="0"/>
        <v>103</v>
      </c>
      <c r="H106" s="33">
        <f t="shared" si="0"/>
        <v>103</v>
      </c>
    </row>
  </sheetData>
  <autoFilter ref="A1:H105" xr:uid="{00000000-0009-0000-0000-000007000000}"/>
  <phoneticPr fontId="5" type="noConversion"/>
  <dataValidations count="2">
    <dataValidation type="list" allowBlank="1" showErrorMessage="1" sqref="H2:H105" xr:uid="{00000000-0002-0000-0700-000000000000}">
      <formula1>"성수_201,성수_202,성수_1906,전주,재택,휴직"</formula1>
    </dataValidation>
    <dataValidation type="list" allowBlank="1" showErrorMessage="1" sqref="D2:D105" xr:uid="{00000000-0002-0000-0700-000001000000}">
      <formula1>"대표이사직속,개발,사업,경영,CEO,VP,CFO,CTO,CPO,CISO"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5" defaultRowHeight="15.75" customHeight="1"/>
  <cols>
    <col min="1" max="1" width="4.5" customWidth="1"/>
    <col min="2" max="2" width="12" customWidth="1"/>
    <col min="3" max="4" width="7.1640625" customWidth="1"/>
    <col min="5" max="9" width="16.5" customWidth="1"/>
    <col min="10" max="11" width="15.1640625" customWidth="1"/>
    <col min="12" max="12" width="11.33203125" customWidth="1"/>
  </cols>
  <sheetData>
    <row r="1" spans="1:12" ht="15.75" customHeight="1">
      <c r="A1" s="1" t="s">
        <v>0</v>
      </c>
      <c r="B1" s="1" t="s">
        <v>1</v>
      </c>
      <c r="C1" s="1" t="s">
        <v>187</v>
      </c>
      <c r="D1" s="1" t="s">
        <v>3</v>
      </c>
      <c r="E1" s="1" t="s">
        <v>188</v>
      </c>
      <c r="F1" s="1" t="s">
        <v>189</v>
      </c>
      <c r="G1" s="1" t="s">
        <v>190</v>
      </c>
      <c r="H1" s="1" t="s">
        <v>76</v>
      </c>
      <c r="I1" s="2" t="s">
        <v>4</v>
      </c>
      <c r="J1" s="1" t="s">
        <v>77</v>
      </c>
      <c r="K1" s="11" t="s">
        <v>5</v>
      </c>
      <c r="L1" s="3" t="s">
        <v>6</v>
      </c>
    </row>
    <row r="2" spans="1:12" ht="15.75" customHeight="1">
      <c r="A2" s="12" t="s">
        <v>7</v>
      </c>
      <c r="B2" s="13" t="s">
        <v>8</v>
      </c>
      <c r="C2" s="13" t="s">
        <v>9</v>
      </c>
      <c r="D2" s="14">
        <v>2</v>
      </c>
      <c r="E2" s="15">
        <v>144830</v>
      </c>
      <c r="F2" s="15">
        <v>0</v>
      </c>
      <c r="G2" s="15">
        <f t="shared" ref="G2:G22" si="0">E2+F2</f>
        <v>144830</v>
      </c>
      <c r="H2" s="15">
        <f t="shared" ref="H2:H22" si="1">D2*30000</f>
        <v>60000</v>
      </c>
      <c r="I2" s="4">
        <f t="shared" ref="I2:I22" si="2">G2+H2</f>
        <v>204830</v>
      </c>
      <c r="J2" s="15">
        <f>-150000-50000</f>
        <v>-200000</v>
      </c>
      <c r="K2" s="4">
        <f t="shared" ref="K2:K22" si="3">I2+J2</f>
        <v>4830</v>
      </c>
      <c r="L2" s="5">
        <v>45863</v>
      </c>
    </row>
    <row r="3" spans="1:12" ht="15.75" customHeight="1">
      <c r="A3" s="16" t="s">
        <v>10</v>
      </c>
      <c r="B3" s="17" t="s">
        <v>11</v>
      </c>
      <c r="C3" s="17" t="s">
        <v>12</v>
      </c>
      <c r="D3" s="18">
        <v>5</v>
      </c>
      <c r="E3" s="19">
        <v>404781</v>
      </c>
      <c r="F3" s="19">
        <v>0</v>
      </c>
      <c r="G3" s="19">
        <f t="shared" si="0"/>
        <v>404781</v>
      </c>
      <c r="H3" s="19">
        <f t="shared" si="1"/>
        <v>150000</v>
      </c>
      <c r="I3" s="4">
        <f t="shared" si="2"/>
        <v>554781</v>
      </c>
      <c r="J3" s="19">
        <f>-122300-30500</f>
        <v>-152800</v>
      </c>
      <c r="K3" s="4">
        <f t="shared" si="3"/>
        <v>401981</v>
      </c>
      <c r="L3" s="20"/>
    </row>
    <row r="4" spans="1:12" ht="15.75" customHeight="1">
      <c r="A4" s="12" t="s">
        <v>13</v>
      </c>
      <c r="B4" s="13" t="s">
        <v>14</v>
      </c>
      <c r="C4" s="13" t="s">
        <v>157</v>
      </c>
      <c r="D4" s="14">
        <v>3</v>
      </c>
      <c r="E4" s="15">
        <v>273708</v>
      </c>
      <c r="F4" s="15">
        <v>0</v>
      </c>
      <c r="G4" s="15">
        <f t="shared" si="0"/>
        <v>273708</v>
      </c>
      <c r="H4" s="15">
        <f t="shared" si="1"/>
        <v>90000</v>
      </c>
      <c r="I4" s="4">
        <f t="shared" si="2"/>
        <v>363708</v>
      </c>
      <c r="J4" s="15">
        <v>0</v>
      </c>
      <c r="K4" s="4">
        <f t="shared" si="3"/>
        <v>363708</v>
      </c>
      <c r="L4" s="21"/>
    </row>
    <row r="5" spans="1:12" ht="15.75" customHeight="1">
      <c r="A5" s="16" t="s">
        <v>16</v>
      </c>
      <c r="B5" s="17" t="s">
        <v>17</v>
      </c>
      <c r="C5" s="17" t="s">
        <v>18</v>
      </c>
      <c r="D5" s="18">
        <v>3</v>
      </c>
      <c r="E5" s="19">
        <v>285200</v>
      </c>
      <c r="F5" s="19">
        <v>0</v>
      </c>
      <c r="G5" s="19">
        <f t="shared" si="0"/>
        <v>285200</v>
      </c>
      <c r="H5" s="19">
        <f t="shared" si="1"/>
        <v>90000</v>
      </c>
      <c r="I5" s="4">
        <f t="shared" si="2"/>
        <v>375200</v>
      </c>
      <c r="J5" s="19">
        <v>0</v>
      </c>
      <c r="K5" s="4">
        <f t="shared" si="3"/>
        <v>375200</v>
      </c>
      <c r="L5" s="20"/>
    </row>
    <row r="6" spans="1:12" ht="15.75" customHeight="1">
      <c r="A6" s="12" t="s">
        <v>19</v>
      </c>
      <c r="B6" s="13" t="s">
        <v>20</v>
      </c>
      <c r="C6" s="13" t="s">
        <v>21</v>
      </c>
      <c r="D6" s="14">
        <v>3</v>
      </c>
      <c r="E6" s="15">
        <f>627038</f>
        <v>627038</v>
      </c>
      <c r="F6" s="15">
        <v>-452000</v>
      </c>
      <c r="G6" s="15">
        <f t="shared" si="0"/>
        <v>175038</v>
      </c>
      <c r="H6" s="15">
        <f t="shared" si="1"/>
        <v>90000</v>
      </c>
      <c r="I6" s="4">
        <f t="shared" si="2"/>
        <v>265038</v>
      </c>
      <c r="J6" s="15">
        <f>-54500-11400</f>
        <v>-65900</v>
      </c>
      <c r="K6" s="4">
        <f t="shared" si="3"/>
        <v>199138</v>
      </c>
      <c r="L6" s="21"/>
    </row>
    <row r="7" spans="1:12" ht="15.75" customHeight="1">
      <c r="A7" s="16" t="s">
        <v>22</v>
      </c>
      <c r="B7" s="17" t="s">
        <v>23</v>
      </c>
      <c r="C7" s="17" t="s">
        <v>24</v>
      </c>
      <c r="D7" s="18">
        <v>5</v>
      </c>
      <c r="E7" s="19">
        <v>813627</v>
      </c>
      <c r="F7" s="19">
        <v>0</v>
      </c>
      <c r="G7" s="19">
        <f t="shared" si="0"/>
        <v>813627</v>
      </c>
      <c r="H7" s="19">
        <f t="shared" si="1"/>
        <v>150000</v>
      </c>
      <c r="I7" s="4">
        <f t="shared" si="2"/>
        <v>963627</v>
      </c>
      <c r="J7" s="19">
        <v>-48000</v>
      </c>
      <c r="K7" s="4">
        <f t="shared" si="3"/>
        <v>915627</v>
      </c>
      <c r="L7" s="20"/>
    </row>
    <row r="8" spans="1:12" ht="15.75" customHeight="1">
      <c r="A8" s="12" t="s">
        <v>25</v>
      </c>
      <c r="B8" s="13" t="s">
        <v>26</v>
      </c>
      <c r="C8" s="13" t="s">
        <v>87</v>
      </c>
      <c r="D8" s="14">
        <v>5</v>
      </c>
      <c r="E8" s="15">
        <v>381953</v>
      </c>
      <c r="F8" s="15">
        <v>-306500</v>
      </c>
      <c r="G8" s="15">
        <f t="shared" si="0"/>
        <v>75453</v>
      </c>
      <c r="H8" s="15">
        <f t="shared" si="1"/>
        <v>150000</v>
      </c>
      <c r="I8" s="4">
        <f t="shared" si="2"/>
        <v>225453</v>
      </c>
      <c r="J8" s="15">
        <v>0</v>
      </c>
      <c r="K8" s="4">
        <f t="shared" si="3"/>
        <v>225453</v>
      </c>
      <c r="L8" s="21"/>
    </row>
    <row r="9" spans="1:12" ht="15.75" customHeight="1">
      <c r="A9" s="16" t="s">
        <v>28</v>
      </c>
      <c r="B9" s="17" t="s">
        <v>29</v>
      </c>
      <c r="C9" s="17" t="s">
        <v>30</v>
      </c>
      <c r="D9" s="18">
        <v>3</v>
      </c>
      <c r="E9" s="19">
        <v>461280</v>
      </c>
      <c r="F9" s="19">
        <f>-229000-146500</f>
        <v>-375500</v>
      </c>
      <c r="G9" s="19">
        <f t="shared" si="0"/>
        <v>85780</v>
      </c>
      <c r="H9" s="19">
        <f t="shared" si="1"/>
        <v>90000</v>
      </c>
      <c r="I9" s="4">
        <f t="shared" si="2"/>
        <v>175780</v>
      </c>
      <c r="J9" s="19">
        <v>0</v>
      </c>
      <c r="K9" s="4">
        <f t="shared" si="3"/>
        <v>175780</v>
      </c>
      <c r="L9" s="20"/>
    </row>
    <row r="10" spans="1:12" ht="15.75" customHeight="1">
      <c r="A10" s="12" t="s">
        <v>31</v>
      </c>
      <c r="B10" s="13" t="s">
        <v>32</v>
      </c>
      <c r="C10" s="13" t="s">
        <v>72</v>
      </c>
      <c r="D10" s="14">
        <v>5</v>
      </c>
      <c r="E10" s="15">
        <v>1358101</v>
      </c>
      <c r="F10" s="15">
        <v>-383000</v>
      </c>
      <c r="G10" s="15">
        <f t="shared" si="0"/>
        <v>975101</v>
      </c>
      <c r="H10" s="15">
        <f t="shared" si="1"/>
        <v>150000</v>
      </c>
      <c r="I10" s="4">
        <f t="shared" si="2"/>
        <v>1125101</v>
      </c>
      <c r="J10" s="15">
        <v>-77700</v>
      </c>
      <c r="K10" s="4">
        <f t="shared" si="3"/>
        <v>1047401</v>
      </c>
      <c r="L10" s="21"/>
    </row>
    <row r="11" spans="1:12" ht="15.75" customHeight="1">
      <c r="A11" s="16" t="s">
        <v>34</v>
      </c>
      <c r="B11" s="17" t="s">
        <v>35</v>
      </c>
      <c r="C11" s="17" t="s">
        <v>70</v>
      </c>
      <c r="D11" s="18">
        <v>7</v>
      </c>
      <c r="E11" s="19">
        <v>1265225</v>
      </c>
      <c r="F11" s="19">
        <v>-719500</v>
      </c>
      <c r="G11" s="19">
        <f t="shared" si="0"/>
        <v>545725</v>
      </c>
      <c r="H11" s="19">
        <f t="shared" si="1"/>
        <v>210000</v>
      </c>
      <c r="I11" s="4">
        <f t="shared" si="2"/>
        <v>755725</v>
      </c>
      <c r="J11" s="19">
        <f>-18000</f>
        <v>-18000</v>
      </c>
      <c r="K11" s="4">
        <f t="shared" si="3"/>
        <v>737725</v>
      </c>
      <c r="L11" s="20"/>
    </row>
    <row r="12" spans="1:12" ht="15.75" customHeight="1">
      <c r="A12" s="12" t="s">
        <v>37</v>
      </c>
      <c r="B12" s="13" t="s">
        <v>78</v>
      </c>
      <c r="C12" s="13" t="s">
        <v>79</v>
      </c>
      <c r="D12" s="14">
        <v>2</v>
      </c>
      <c r="E12" s="15">
        <v>150904</v>
      </c>
      <c r="F12" s="15">
        <v>0</v>
      </c>
      <c r="G12" s="15">
        <f t="shared" si="0"/>
        <v>150904</v>
      </c>
      <c r="H12" s="15">
        <f t="shared" si="1"/>
        <v>60000</v>
      </c>
      <c r="I12" s="4">
        <f t="shared" si="2"/>
        <v>210904</v>
      </c>
      <c r="J12" s="15">
        <f>-10300-9000-60000-138600</f>
        <v>-217900</v>
      </c>
      <c r="K12" s="4">
        <f t="shared" si="3"/>
        <v>-6996</v>
      </c>
      <c r="L12" s="21"/>
    </row>
    <row r="13" spans="1:12" ht="15.75" customHeight="1">
      <c r="A13" s="16" t="s">
        <v>40</v>
      </c>
      <c r="B13" s="17" t="s">
        <v>38</v>
      </c>
      <c r="C13" s="17" t="s">
        <v>39</v>
      </c>
      <c r="D13" s="18">
        <v>3</v>
      </c>
      <c r="E13" s="19">
        <v>152764</v>
      </c>
      <c r="F13" s="19">
        <v>0</v>
      </c>
      <c r="G13" s="19">
        <f t="shared" si="0"/>
        <v>152764</v>
      </c>
      <c r="H13" s="19">
        <f t="shared" si="1"/>
        <v>90000</v>
      </c>
      <c r="I13" s="4">
        <f t="shared" si="2"/>
        <v>242764</v>
      </c>
      <c r="J13" s="19">
        <v>-65000</v>
      </c>
      <c r="K13" s="4">
        <f t="shared" si="3"/>
        <v>177764</v>
      </c>
      <c r="L13" s="20"/>
    </row>
    <row r="14" spans="1:12" ht="15.75" customHeight="1">
      <c r="A14" s="12" t="s">
        <v>43</v>
      </c>
      <c r="B14" s="13" t="s">
        <v>41</v>
      </c>
      <c r="C14" s="13" t="s">
        <v>42</v>
      </c>
      <c r="D14" s="14">
        <v>7</v>
      </c>
      <c r="E14" s="15">
        <v>597733</v>
      </c>
      <c r="F14" s="15">
        <v>0</v>
      </c>
      <c r="G14" s="15">
        <f t="shared" si="0"/>
        <v>597733</v>
      </c>
      <c r="H14" s="15">
        <f t="shared" si="1"/>
        <v>210000</v>
      </c>
      <c r="I14" s="4">
        <f t="shared" si="2"/>
        <v>807733</v>
      </c>
      <c r="J14" s="15">
        <v>0</v>
      </c>
      <c r="K14" s="4">
        <f t="shared" si="3"/>
        <v>807733</v>
      </c>
      <c r="L14" s="21"/>
    </row>
    <row r="15" spans="1:12" ht="15.75" customHeight="1">
      <c r="A15" s="16" t="s">
        <v>46</v>
      </c>
      <c r="B15" s="17" t="s">
        <v>44</v>
      </c>
      <c r="C15" s="17" t="s">
        <v>45</v>
      </c>
      <c r="D15" s="18">
        <v>11</v>
      </c>
      <c r="E15" s="19">
        <v>1176480</v>
      </c>
      <c r="F15" s="19">
        <v>-1101950</v>
      </c>
      <c r="G15" s="19">
        <f t="shared" si="0"/>
        <v>74530</v>
      </c>
      <c r="H15" s="19">
        <f t="shared" si="1"/>
        <v>330000</v>
      </c>
      <c r="I15" s="4">
        <f t="shared" si="2"/>
        <v>404530</v>
      </c>
      <c r="J15" s="19">
        <v>0</v>
      </c>
      <c r="K15" s="4">
        <f t="shared" si="3"/>
        <v>404530</v>
      </c>
      <c r="L15" s="20"/>
    </row>
    <row r="16" spans="1:12" ht="15.75" customHeight="1">
      <c r="A16" s="12" t="s">
        <v>49</v>
      </c>
      <c r="B16" s="13" t="s">
        <v>47</v>
      </c>
      <c r="C16" s="13" t="s">
        <v>48</v>
      </c>
      <c r="D16" s="14">
        <v>12</v>
      </c>
      <c r="E16" s="15">
        <f>552838+80889</f>
        <v>633727</v>
      </c>
      <c r="F16" s="15">
        <v>0</v>
      </c>
      <c r="G16" s="15">
        <f t="shared" si="0"/>
        <v>633727</v>
      </c>
      <c r="H16" s="15">
        <f t="shared" si="1"/>
        <v>360000</v>
      </c>
      <c r="I16" s="4">
        <f t="shared" si="2"/>
        <v>993727</v>
      </c>
      <c r="J16" s="15">
        <v>-537000</v>
      </c>
      <c r="K16" s="4">
        <f t="shared" si="3"/>
        <v>456727</v>
      </c>
      <c r="L16" s="21"/>
    </row>
    <row r="17" spans="1:12" ht="15.75" customHeight="1">
      <c r="A17" s="16" t="s">
        <v>52</v>
      </c>
      <c r="B17" s="17" t="s">
        <v>50</v>
      </c>
      <c r="C17" s="17" t="s">
        <v>51</v>
      </c>
      <c r="D17" s="18">
        <v>6</v>
      </c>
      <c r="E17" s="19">
        <f>521595+80889</f>
        <v>602484</v>
      </c>
      <c r="F17" s="19">
        <v>-353000</v>
      </c>
      <c r="G17" s="19">
        <f t="shared" si="0"/>
        <v>249484</v>
      </c>
      <c r="H17" s="19">
        <f t="shared" si="1"/>
        <v>180000</v>
      </c>
      <c r="I17" s="4">
        <f t="shared" si="2"/>
        <v>429484</v>
      </c>
      <c r="J17" s="19">
        <f>-8500-8000-78500-316000</f>
        <v>-411000</v>
      </c>
      <c r="K17" s="4">
        <f t="shared" si="3"/>
        <v>18484</v>
      </c>
      <c r="L17" s="20"/>
    </row>
    <row r="18" spans="1:12" ht="15.75" customHeight="1">
      <c r="A18" s="12" t="s">
        <v>55</v>
      </c>
      <c r="B18" s="13" t="s">
        <v>53</v>
      </c>
      <c r="C18" s="13" t="s">
        <v>54</v>
      </c>
      <c r="D18" s="14">
        <v>4</v>
      </c>
      <c r="E18" s="15">
        <v>961500</v>
      </c>
      <c r="F18" s="15">
        <v>-593900</v>
      </c>
      <c r="G18" s="15">
        <f t="shared" si="0"/>
        <v>367600</v>
      </c>
      <c r="H18" s="15">
        <f t="shared" si="1"/>
        <v>120000</v>
      </c>
      <c r="I18" s="4">
        <f t="shared" si="2"/>
        <v>487600</v>
      </c>
      <c r="J18" s="15">
        <v>0</v>
      </c>
      <c r="K18" s="4">
        <f t="shared" si="3"/>
        <v>487600</v>
      </c>
      <c r="L18" s="21"/>
    </row>
    <row r="19" spans="1:12" ht="15.75" customHeight="1">
      <c r="A19" s="16" t="s">
        <v>58</v>
      </c>
      <c r="B19" s="17" t="s">
        <v>56</v>
      </c>
      <c r="C19" s="17" t="s">
        <v>57</v>
      </c>
      <c r="D19" s="18">
        <v>3</v>
      </c>
      <c r="E19" s="19">
        <v>197325</v>
      </c>
      <c r="F19" s="19">
        <v>0</v>
      </c>
      <c r="G19" s="19">
        <f t="shared" si="0"/>
        <v>197325</v>
      </c>
      <c r="H19" s="19">
        <f t="shared" si="1"/>
        <v>90000</v>
      </c>
      <c r="I19" s="4">
        <f t="shared" si="2"/>
        <v>287325</v>
      </c>
      <c r="J19" s="19">
        <f>-195600-8800-17500-8500</f>
        <v>-230400</v>
      </c>
      <c r="K19" s="4">
        <f t="shared" si="3"/>
        <v>56925</v>
      </c>
      <c r="L19" s="20"/>
    </row>
    <row r="20" spans="1:12" ht="15.75" customHeight="1">
      <c r="A20" s="12" t="s">
        <v>61</v>
      </c>
      <c r="B20" s="13" t="s">
        <v>59</v>
      </c>
      <c r="C20" s="13" t="s">
        <v>60</v>
      </c>
      <c r="D20" s="14">
        <v>1</v>
      </c>
      <c r="E20" s="15">
        <v>76111</v>
      </c>
      <c r="F20" s="15">
        <v>0</v>
      </c>
      <c r="G20" s="15">
        <f t="shared" si="0"/>
        <v>76111</v>
      </c>
      <c r="H20" s="15">
        <f t="shared" si="1"/>
        <v>30000</v>
      </c>
      <c r="I20" s="4">
        <f t="shared" si="2"/>
        <v>106111</v>
      </c>
      <c r="J20" s="15">
        <f>-65200</f>
        <v>-65200</v>
      </c>
      <c r="K20" s="4">
        <f t="shared" si="3"/>
        <v>40911</v>
      </c>
      <c r="L20" s="21"/>
    </row>
    <row r="21" spans="1:12" ht="15.75" customHeight="1">
      <c r="A21" s="16" t="s">
        <v>64</v>
      </c>
      <c r="B21" s="17" t="s">
        <v>62</v>
      </c>
      <c r="C21" s="17" t="s">
        <v>63</v>
      </c>
      <c r="D21" s="18">
        <v>2</v>
      </c>
      <c r="E21" s="19">
        <f>325787-325787</f>
        <v>0</v>
      </c>
      <c r="F21" s="19">
        <v>0</v>
      </c>
      <c r="G21" s="19">
        <f t="shared" si="0"/>
        <v>0</v>
      </c>
      <c r="H21" s="19">
        <f t="shared" si="1"/>
        <v>60000</v>
      </c>
      <c r="I21" s="4">
        <f t="shared" si="2"/>
        <v>60000</v>
      </c>
      <c r="J21" s="19">
        <v>-11800</v>
      </c>
      <c r="K21" s="4">
        <f t="shared" si="3"/>
        <v>48200</v>
      </c>
      <c r="L21" s="20"/>
    </row>
    <row r="22" spans="1:12" ht="15.75" customHeight="1">
      <c r="A22" s="12" t="s">
        <v>67</v>
      </c>
      <c r="B22" s="13" t="s">
        <v>65</v>
      </c>
      <c r="C22" s="13" t="s">
        <v>66</v>
      </c>
      <c r="D22" s="14">
        <v>4</v>
      </c>
      <c r="E22" s="15">
        <f>434383-424213</f>
        <v>10170</v>
      </c>
      <c r="F22" s="15">
        <v>0</v>
      </c>
      <c r="G22" s="15">
        <f t="shared" si="0"/>
        <v>10170</v>
      </c>
      <c r="H22" s="15">
        <f t="shared" si="1"/>
        <v>120000</v>
      </c>
      <c r="I22" s="4">
        <f t="shared" si="2"/>
        <v>130170</v>
      </c>
      <c r="J22" s="15">
        <v>0</v>
      </c>
      <c r="K22" s="4">
        <f t="shared" si="3"/>
        <v>130170</v>
      </c>
      <c r="L22" s="21"/>
    </row>
    <row r="23" spans="1:12" ht="15.75" customHeight="1">
      <c r="A23" s="6"/>
      <c r="B23" s="7"/>
      <c r="C23" s="7" t="s">
        <v>75</v>
      </c>
      <c r="D23" s="8">
        <f t="shared" ref="D23:K23" si="4">SUBTOTAL(9,D2:D22)</f>
        <v>96</v>
      </c>
      <c r="E23" s="9">
        <f t="shared" si="4"/>
        <v>10574941</v>
      </c>
      <c r="F23" s="9">
        <f t="shared" si="4"/>
        <v>-4285350</v>
      </c>
      <c r="G23" s="9">
        <f t="shared" si="4"/>
        <v>6289591</v>
      </c>
      <c r="H23" s="9">
        <f t="shared" si="4"/>
        <v>2880000</v>
      </c>
      <c r="I23" s="10">
        <f t="shared" si="4"/>
        <v>9169591</v>
      </c>
      <c r="J23" s="9">
        <f t="shared" si="4"/>
        <v>-2100700</v>
      </c>
      <c r="K23" s="10">
        <f t="shared" si="4"/>
        <v>7068891</v>
      </c>
      <c r="L23" s="7"/>
    </row>
  </sheetData>
  <autoFilter ref="A1:K22" xr:uid="{00000000-0009-0000-0000-000008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구성원_목록</vt:lpstr>
      <vt:lpstr>현황_25_07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SANGHAK BAE</cp:lastModifiedBy>
  <dcterms:created xsi:type="dcterms:W3CDTF">2026-03-27T05:40:51Z</dcterms:created>
  <dcterms:modified xsi:type="dcterms:W3CDTF">2026-03-27T05:40:52Z</dcterms:modified>
</cp:coreProperties>
</file>